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yayama\Downloads\"/>
    </mc:Choice>
  </mc:AlternateContent>
  <xr:revisionPtr revIDLastSave="0" documentId="13_ncr:1_{1966F806-4AAB-441F-935A-9004D1AFA3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FA導入前確認シー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8" i="3" l="1"/>
  <c r="A50" i="3"/>
  <c r="A38" i="3"/>
  <c r="A39" i="3"/>
  <c r="A40" i="3"/>
  <c r="A41" i="3"/>
  <c r="A42" i="3"/>
  <c r="A43" i="3"/>
  <c r="A44" i="3"/>
  <c r="A45" i="3"/>
  <c r="A57" i="3"/>
  <c r="A58" i="3"/>
  <c r="A59" i="3"/>
  <c r="A60" i="3"/>
  <c r="A61" i="3"/>
  <c r="A56" i="3"/>
  <c r="A51" i="3"/>
  <c r="A52" i="3"/>
  <c r="A53" i="3"/>
  <c r="A54" i="3"/>
  <c r="A49" i="3"/>
  <c r="A47" i="3"/>
  <c r="A8" i="3"/>
  <c r="A37" i="3"/>
  <c r="A30" i="3"/>
  <c r="A31" i="3"/>
  <c r="A32" i="3"/>
  <c r="A33" i="3"/>
  <c r="A34" i="3"/>
  <c r="A35" i="3"/>
  <c r="A29" i="3"/>
  <c r="A20" i="3"/>
  <c r="A21" i="3"/>
  <c r="A22" i="3"/>
  <c r="A23" i="3"/>
  <c r="A24" i="3"/>
  <c r="A25" i="3"/>
  <c r="A26" i="3"/>
  <c r="A27" i="3"/>
  <c r="A19" i="3"/>
  <c r="A15" i="3"/>
  <c r="A16" i="3"/>
  <c r="A17" i="3"/>
  <c r="A14" i="3"/>
  <c r="A11" i="3"/>
  <c r="A12" i="3"/>
  <c r="A10" i="3"/>
  <c r="A5" i="3"/>
  <c r="A6" i="3"/>
  <c r="A7" i="3"/>
  <c r="A4" i="3"/>
</calcChain>
</file>

<file path=xl/sharedStrings.xml><?xml version="1.0" encoding="utf-8"?>
<sst xmlns="http://schemas.openxmlformats.org/spreadsheetml/2006/main" count="120" uniqueCount="99">
  <si>
    <t>番号</t>
  </si>
  <si>
    <t>質問事項</t>
  </si>
  <si>
    <t>解答欄</t>
  </si>
  <si>
    <t>目標について</t>
  </si>
  <si>
    <t>社内組織体系</t>
  </si>
  <si>
    <t>上記の担当者が着目する情報がそれぞれ異なっていますか</t>
  </si>
  <si>
    <t>既存システムについて</t>
  </si>
  <si>
    <t>リソースについて</t>
  </si>
  <si>
    <t>インサイドセールスがいる</t>
  </si>
  <si>
    <t>ご記入お疲れ様でした。
 下記の傾向もご確認ください。</t>
  </si>
  <si>
    <t>SFA 導入前確認シート</t>
  </si>
  <si>
    <t>管理方法について</t>
    <rPh sb="0" eb="2">
      <t>カンリ</t>
    </rPh>
    <rPh sb="2" eb="4">
      <t>ホウホウ</t>
    </rPh>
    <phoneticPr fontId="7"/>
  </si>
  <si>
    <t>営業効率化における課題について</t>
    <rPh sb="0" eb="2">
      <t>エイギョウ</t>
    </rPh>
    <rPh sb="2" eb="5">
      <t>コウリツカ</t>
    </rPh>
    <rPh sb="9" eb="11">
      <t>カダイ</t>
    </rPh>
    <phoneticPr fontId="7"/>
  </si>
  <si>
    <t>営業力・マネジメントの課題</t>
    <rPh sb="0" eb="3">
      <t>エイギョウリョク</t>
    </rPh>
    <rPh sb="11" eb="13">
      <t>カダイ</t>
    </rPh>
    <phoneticPr fontId="7"/>
  </si>
  <si>
    <r>
      <rPr>
        <sz val="11"/>
        <color rgb="FF000000"/>
        <rFont val="ＭＳ Ｐゴシック"/>
        <family val="3"/>
        <charset val="128"/>
      </rPr>
      <t>★の質問に</t>
    </r>
    <r>
      <rPr>
        <sz val="11"/>
        <color rgb="FF000000"/>
        <rFont val="Arial"/>
        <family val="2"/>
      </rPr>
      <t>YES</t>
    </r>
    <r>
      <rPr>
        <sz val="11"/>
        <color rgb="FF000000"/>
        <rFont val="ＭＳ Ｐゴシック"/>
        <family val="3"/>
        <charset val="128"/>
      </rPr>
      <t>が多い場合、今まで以上に</t>
    </r>
    <r>
      <rPr>
        <sz val="11"/>
        <color rgb="FF000000"/>
        <rFont val="Arial"/>
        <family val="2"/>
      </rPr>
      <t>SFA</t>
    </r>
    <r>
      <rPr>
        <sz val="11"/>
        <color rgb="FF000000"/>
        <rFont val="ＭＳ Ｐゴシック"/>
        <family val="3"/>
        <charset val="128"/>
      </rPr>
      <t>を活用し生産性や精度を上げていくべきでしょう</t>
    </r>
    <phoneticPr fontId="7"/>
  </si>
  <si>
    <t>顧客情報・案件情報・活動情報をデータで管理していますか</t>
    <rPh sb="5" eb="7">
      <t>アンケン</t>
    </rPh>
    <rPh sb="7" eb="9">
      <t>ジョウホウ</t>
    </rPh>
    <rPh sb="10" eb="12">
      <t>カツドウ</t>
    </rPh>
    <rPh sb="12" eb="14">
      <t>ジョウホウ</t>
    </rPh>
    <phoneticPr fontId="7"/>
  </si>
  <si>
    <t>上記以外に営業効率化におけるお悩みがあればご記載ください。</t>
    <rPh sb="0" eb="2">
      <t>ジョウキ</t>
    </rPh>
    <rPh sb="2" eb="4">
      <t>イガイ</t>
    </rPh>
    <rPh sb="5" eb="7">
      <t>エイギョウ</t>
    </rPh>
    <rPh sb="7" eb="9">
      <t>コウリツ</t>
    </rPh>
    <rPh sb="9" eb="10">
      <t>カ</t>
    </rPh>
    <rPh sb="15" eb="16">
      <t>ナヤ</t>
    </rPh>
    <rPh sb="22" eb="24">
      <t>キサイ</t>
    </rPh>
    <phoneticPr fontId="7"/>
  </si>
  <si>
    <t>・売上・利益を向上させたい
・売上予測を正確にしたい
・顧客情報を一元管理したい
・重要顧客を見えるかしたい
・見込み客対応を効率化したい
・案件を見える化したい</t>
    <phoneticPr fontId="7"/>
  </si>
  <si>
    <t>営業責任者1名、営業推進責任者0名、システム部門0名</t>
    <rPh sb="0" eb="2">
      <t>エイギョウ</t>
    </rPh>
    <rPh sb="2" eb="5">
      <t>セキニンシャ</t>
    </rPh>
    <rPh sb="6" eb="7">
      <t>メイ</t>
    </rPh>
    <rPh sb="8" eb="10">
      <t>エイギョウ</t>
    </rPh>
    <rPh sb="10" eb="12">
      <t>スイシン</t>
    </rPh>
    <rPh sb="12" eb="15">
      <t>セキニンシャ</t>
    </rPh>
    <rPh sb="16" eb="17">
      <t>メイ</t>
    </rPh>
    <rPh sb="22" eb="24">
      <t>ブモン</t>
    </rPh>
    <rPh sb="25" eb="26">
      <t>メイ</t>
    </rPh>
    <phoneticPr fontId="7"/>
  </si>
  <si>
    <t>営業部門、推進Gは同様のシステムで情報を共有している。</t>
    <rPh sb="0" eb="2">
      <t>エイギョウ</t>
    </rPh>
    <rPh sb="2" eb="4">
      <t>ブモン</t>
    </rPh>
    <rPh sb="5" eb="7">
      <t>スイシン</t>
    </rPh>
    <rPh sb="9" eb="11">
      <t>ドウヨウ</t>
    </rPh>
    <rPh sb="17" eb="19">
      <t>ジョウホウ</t>
    </rPh>
    <rPh sb="20" eb="22">
      <t>キョウユウ</t>
    </rPh>
    <phoneticPr fontId="7"/>
  </si>
  <si>
    <t>増員10名以上決まっている。</t>
    <rPh sb="0" eb="2">
      <t>ゾウイン</t>
    </rPh>
    <rPh sb="4" eb="5">
      <t>メイ</t>
    </rPh>
    <rPh sb="5" eb="7">
      <t>イジョウ</t>
    </rPh>
    <rPh sb="7" eb="8">
      <t>キ</t>
    </rPh>
    <phoneticPr fontId="7"/>
  </si>
  <si>
    <r>
      <rPr>
        <sz val="11"/>
        <color theme="0" tint="-0.499984740745262"/>
        <rFont val="ＭＳ Ｐゴシック"/>
        <family val="3"/>
        <charset val="128"/>
      </rPr>
      <t>基幹システム、</t>
    </r>
    <r>
      <rPr>
        <sz val="11"/>
        <color theme="0" tint="-0.499984740745262"/>
        <rFont val="Arial"/>
        <family val="2"/>
      </rPr>
      <t>SFA</t>
    </r>
    <r>
      <rPr>
        <sz val="11"/>
        <color theme="0" tint="-0.499984740745262"/>
        <rFont val="ＭＳ Ｐゴシック"/>
        <family val="3"/>
        <charset val="128"/>
      </rPr>
      <t>、</t>
    </r>
    <r>
      <rPr>
        <sz val="11"/>
        <color theme="0" tint="-0.499984740745262"/>
        <rFont val="Arial"/>
        <family val="2"/>
      </rPr>
      <t>MA</t>
    </r>
    <r>
      <rPr>
        <sz val="11"/>
        <color theme="0" tint="-0.499984740745262"/>
        <rFont val="ＭＳ Ｐゴシック"/>
        <family val="3"/>
        <charset val="128"/>
      </rPr>
      <t>を利用中</t>
    </r>
    <rPh sb="0" eb="2">
      <t>キカン</t>
    </rPh>
    <rPh sb="14" eb="17">
      <t>リヨウチュウ</t>
    </rPh>
    <phoneticPr fontId="7"/>
  </si>
  <si>
    <t>営業責任者、営業推進責任者 、システム部門はいますか</t>
    <rPh sb="0" eb="2">
      <t>エイギョウ</t>
    </rPh>
    <rPh sb="2" eb="5">
      <t>セキニンシャ</t>
    </rPh>
    <rPh sb="6" eb="8">
      <t>エイギョウ</t>
    </rPh>
    <rPh sb="8" eb="10">
      <t>スイシン</t>
    </rPh>
    <rPh sb="10" eb="13">
      <t>セキニンシャ</t>
    </rPh>
    <rPh sb="19" eb="21">
      <t>ブモン</t>
    </rPh>
    <phoneticPr fontId="7"/>
  </si>
  <si>
    <t>SFA利用の為に人員の増員が決まっていますか</t>
    <rPh sb="14" eb="15">
      <t>キ</t>
    </rPh>
    <phoneticPr fontId="7"/>
  </si>
  <si>
    <t>普段の営業活動で上記システムへの入力ルールが明確にありますか</t>
  </si>
  <si>
    <t>顧客情報は管理できているが、日報は口頭で報告</t>
    <rPh sb="0" eb="2">
      <t>コキャク</t>
    </rPh>
    <rPh sb="2" eb="4">
      <t>ジョウホウ</t>
    </rPh>
    <rPh sb="5" eb="7">
      <t>カンリ</t>
    </rPh>
    <rPh sb="14" eb="16">
      <t>ニッポウ</t>
    </rPh>
    <rPh sb="17" eb="19">
      <t>コウトウ</t>
    </rPh>
    <rPh sb="20" eb="22">
      <t>ホウコク</t>
    </rPh>
    <phoneticPr fontId="7"/>
  </si>
  <si>
    <t>明確化されているが、担当者ごとに情報が違う</t>
    <rPh sb="0" eb="3">
      <t>メイカクカ</t>
    </rPh>
    <rPh sb="10" eb="13">
      <t>タントウシャ</t>
    </rPh>
    <rPh sb="16" eb="18">
      <t>ジョウホウ</t>
    </rPh>
    <rPh sb="19" eb="20">
      <t>チガ</t>
    </rPh>
    <phoneticPr fontId="7"/>
  </si>
  <si>
    <t>※選択式</t>
    <rPh sb="1" eb="3">
      <t>センタク</t>
    </rPh>
    <rPh sb="3" eb="4">
      <t>シキ</t>
    </rPh>
    <phoneticPr fontId="7"/>
  </si>
  <si>
    <t>様々なシステムで管理している為、
情報の一元管理ができていない。</t>
    <rPh sb="0" eb="2">
      <t>サマザマ</t>
    </rPh>
    <rPh sb="8" eb="10">
      <t>カンリ</t>
    </rPh>
    <rPh sb="14" eb="15">
      <t>タメ</t>
    </rPh>
    <rPh sb="17" eb="19">
      <t>ジョウホウ</t>
    </rPh>
    <rPh sb="20" eb="22">
      <t>イチゲン</t>
    </rPh>
    <rPh sb="22" eb="24">
      <t>カンリ</t>
    </rPh>
    <phoneticPr fontId="7"/>
  </si>
  <si>
    <t>上記以外に情報（データ）の管理方法についてお悩みがあればご記載ください。</t>
    <rPh sb="0" eb="2">
      <t>ジョウキ</t>
    </rPh>
    <rPh sb="2" eb="4">
      <t>イガイ</t>
    </rPh>
    <rPh sb="5" eb="7">
      <t>ジョウホウ</t>
    </rPh>
    <rPh sb="13" eb="15">
      <t>カンリ</t>
    </rPh>
    <rPh sb="15" eb="17">
      <t>ホウホウ</t>
    </rPh>
    <rPh sb="22" eb="23">
      <t>ナヤ</t>
    </rPh>
    <rPh sb="29" eb="31">
      <t>キサイ</t>
    </rPh>
    <phoneticPr fontId="7"/>
  </si>
  <si>
    <r>
      <t>SFA</t>
    </r>
    <r>
      <rPr>
        <sz val="11"/>
        <color rgb="FF000000"/>
        <rFont val="ＭＳ Ｐゴシック"/>
        <family val="3"/>
        <charset val="128"/>
      </rPr>
      <t>、</t>
    </r>
    <r>
      <rPr>
        <sz val="11"/>
        <color rgb="FF000000"/>
        <rFont val="Arial"/>
        <family val="2"/>
      </rPr>
      <t>CMS</t>
    </r>
    <r>
      <rPr>
        <sz val="11"/>
        <color rgb="FF000000"/>
        <rFont val="ＭＳ Ｐゴシック"/>
        <family val="3"/>
        <charset val="128"/>
      </rPr>
      <t>、</t>
    </r>
    <r>
      <rPr>
        <sz val="11"/>
        <color rgb="FF000000"/>
        <rFont val="Arial"/>
        <family val="2"/>
      </rPr>
      <t>CRM</t>
    </r>
    <r>
      <rPr>
        <sz val="11"/>
        <color rgb="FF000000"/>
        <rFont val="ＭＳ Ｐゴシック"/>
        <family val="3"/>
        <charset val="128"/>
      </rPr>
      <t>、</t>
    </r>
    <r>
      <rPr>
        <sz val="11"/>
        <color rgb="FF000000"/>
        <rFont val="Arial"/>
        <family val="2"/>
      </rPr>
      <t>ERP</t>
    </r>
    <r>
      <rPr>
        <sz val="11"/>
        <color rgb="FF000000"/>
        <rFont val="ＭＳ Ｐゴシック"/>
        <family val="3"/>
        <charset val="128"/>
      </rPr>
      <t>、基幹システム、</t>
    </r>
    <r>
      <rPr>
        <sz val="11"/>
        <color rgb="FF000000"/>
        <rFont val="Arial"/>
        <family val="2"/>
      </rPr>
      <t>MA</t>
    </r>
    <r>
      <rPr>
        <sz val="11"/>
        <color rgb="FF000000"/>
        <rFont val="ＭＳ Ｐゴシック"/>
        <family val="3"/>
        <charset val="128"/>
      </rPr>
      <t>、その他の顧客に関するデーターベース機能が導入されていますか</t>
    </r>
    <rPh sb="33" eb="34">
      <t>カン</t>
    </rPh>
    <rPh sb="43" eb="45">
      <t>キノウ</t>
    </rPh>
    <phoneticPr fontId="7"/>
  </si>
  <si>
    <t>解答例</t>
    <rPh sb="2" eb="3">
      <t>レイ</t>
    </rPh>
    <phoneticPr fontId="7"/>
  </si>
  <si>
    <t>自部門のみで行う</t>
    <phoneticPr fontId="7"/>
  </si>
  <si>
    <t>Excelで担当者をまとめている。</t>
    <rPh sb="6" eb="9">
      <t>タントウシャ</t>
    </rPh>
    <phoneticPr fontId="7"/>
  </si>
  <si>
    <t>外部サービスを使用している。</t>
    <rPh sb="0" eb="2">
      <t>ガイブ</t>
    </rPh>
    <rPh sb="7" eb="9">
      <t>シヨウ</t>
    </rPh>
    <phoneticPr fontId="7"/>
  </si>
  <si>
    <t>Excelベースで更新を都度行い、共有している</t>
    <rPh sb="9" eb="11">
      <t>コウシン</t>
    </rPh>
    <rPh sb="12" eb="14">
      <t>ツド</t>
    </rPh>
    <rPh sb="14" eb="15">
      <t>オコナ</t>
    </rPh>
    <rPh sb="17" eb="19">
      <t>キョウユウ</t>
    </rPh>
    <phoneticPr fontId="7"/>
  </si>
  <si>
    <t>セールスリードの有効活用が出来ていない</t>
    <phoneticPr fontId="7"/>
  </si>
  <si>
    <t>日報、口頭ベースで都度、進捗を追っている</t>
    <rPh sb="0" eb="2">
      <t>ニッポウ</t>
    </rPh>
    <rPh sb="3" eb="5">
      <t>コウトウ</t>
    </rPh>
    <rPh sb="9" eb="11">
      <t>ツド</t>
    </rPh>
    <rPh sb="12" eb="14">
      <t>シンチョク</t>
    </rPh>
    <rPh sb="15" eb="16">
      <t>オ</t>
    </rPh>
    <phoneticPr fontId="7"/>
  </si>
  <si>
    <t>担当営業に一任している</t>
    <rPh sb="0" eb="2">
      <t>タントウ</t>
    </rPh>
    <rPh sb="2" eb="4">
      <t>エイギョウ</t>
    </rPh>
    <rPh sb="5" eb="7">
      <t>イチニン</t>
    </rPh>
    <phoneticPr fontId="7"/>
  </si>
  <si>
    <t xml:space="preserve"> 商談未満～最終交渉まで6段階で管理している</t>
    <rPh sb="1" eb="3">
      <t>ショウダン</t>
    </rPh>
    <rPh sb="3" eb="5">
      <t>ミマン</t>
    </rPh>
    <rPh sb="6" eb="8">
      <t>サイシュウ</t>
    </rPh>
    <rPh sb="8" eb="10">
      <t>コウショウ</t>
    </rPh>
    <rPh sb="13" eb="15">
      <t>ダンカイ</t>
    </rPh>
    <rPh sb="16" eb="18">
      <t>カンリ</t>
    </rPh>
    <phoneticPr fontId="7"/>
  </si>
  <si>
    <t>案件の内容により、プロセスを管理している。</t>
    <rPh sb="0" eb="2">
      <t>アンケン</t>
    </rPh>
    <rPh sb="3" eb="5">
      <t>ナイヨウ</t>
    </rPh>
    <rPh sb="14" eb="16">
      <t>カンリ</t>
    </rPh>
    <phoneticPr fontId="7"/>
  </si>
  <si>
    <t>上記の回答で、特に、ボトルネックになっていることを具体的に記載してみましょう</t>
    <rPh sb="0" eb="2">
      <t>ジョウキ</t>
    </rPh>
    <rPh sb="3" eb="5">
      <t>カイトウ</t>
    </rPh>
    <rPh sb="7" eb="8">
      <t>トク</t>
    </rPh>
    <rPh sb="25" eb="28">
      <t>グタイテキ</t>
    </rPh>
    <rPh sb="29" eb="31">
      <t>キサイ</t>
    </rPh>
    <phoneticPr fontId="7"/>
  </si>
  <si>
    <t>客先から会社に帰社し、上司への報告と資料作成を行っている</t>
    <rPh sb="0" eb="2">
      <t>キャクサキ</t>
    </rPh>
    <rPh sb="4" eb="6">
      <t>カイシャ</t>
    </rPh>
    <rPh sb="7" eb="9">
      <t>キシャ</t>
    </rPh>
    <rPh sb="11" eb="13">
      <t>ジョウシ</t>
    </rPh>
    <rPh sb="15" eb="17">
      <t>ホウコク</t>
    </rPh>
    <rPh sb="18" eb="20">
      <t>シリョウ</t>
    </rPh>
    <rPh sb="20" eb="22">
      <t>サクセイ</t>
    </rPh>
    <rPh sb="23" eb="24">
      <t>オコナ</t>
    </rPh>
    <phoneticPr fontId="7"/>
  </si>
  <si>
    <t>SFAに入力を行っているが、独自で管理している帳票へ入力をせざる得ない状況となっている</t>
    <rPh sb="4" eb="6">
      <t>ニュウリョク</t>
    </rPh>
    <rPh sb="7" eb="8">
      <t>オコナ</t>
    </rPh>
    <rPh sb="14" eb="16">
      <t>ドクジ</t>
    </rPh>
    <rPh sb="17" eb="19">
      <t>カンリ</t>
    </rPh>
    <rPh sb="23" eb="25">
      <t>チョウヒョウ</t>
    </rPh>
    <rPh sb="26" eb="28">
      <t>ニュウリョク</t>
    </rPh>
    <rPh sb="32" eb="33">
      <t>エ</t>
    </rPh>
    <rPh sb="35" eb="37">
      <t>ジョウキョウ</t>
    </rPh>
    <phoneticPr fontId="7"/>
  </si>
  <si>
    <t>日報作成の際に、入力する項目数が多く、手間となっている。</t>
    <rPh sb="0" eb="2">
      <t>ニッポウ</t>
    </rPh>
    <rPh sb="2" eb="4">
      <t>サクセイ</t>
    </rPh>
    <rPh sb="5" eb="6">
      <t>サイ</t>
    </rPh>
    <rPh sb="8" eb="10">
      <t>ニュウリョク</t>
    </rPh>
    <rPh sb="12" eb="15">
      <t>コウモクスウ</t>
    </rPh>
    <rPh sb="16" eb="17">
      <t>オオ</t>
    </rPh>
    <rPh sb="19" eb="21">
      <t>テマ</t>
    </rPh>
    <phoneticPr fontId="7"/>
  </si>
  <si>
    <t>-</t>
    <phoneticPr fontId="7"/>
  </si>
  <si>
    <t>名刺管理ツールは導入されていますか。また、活用されていますか</t>
    <rPh sb="0" eb="2">
      <t>メイシ</t>
    </rPh>
    <rPh sb="2" eb="4">
      <t>カンリ</t>
    </rPh>
    <rPh sb="8" eb="10">
      <t>ドウニュウ</t>
    </rPh>
    <rPh sb="21" eb="23">
      <t>カツヨウ</t>
    </rPh>
    <phoneticPr fontId="7"/>
  </si>
  <si>
    <t>導入しているが、あまり活用されていない</t>
    <rPh sb="0" eb="2">
      <t>ドウニュウ</t>
    </rPh>
    <rPh sb="11" eb="13">
      <t>カツヨウ</t>
    </rPh>
    <phoneticPr fontId="7"/>
  </si>
  <si>
    <t>具体的な目標となっている</t>
    <rPh sb="0" eb="3">
      <t>グタイテキ</t>
    </rPh>
    <rPh sb="4" eb="6">
      <t>モクヒョウ</t>
    </rPh>
    <phoneticPr fontId="7"/>
  </si>
  <si>
    <t>優先度を低～高にわけている</t>
    <rPh sb="0" eb="3">
      <t>ユウセンド</t>
    </rPh>
    <rPh sb="4" eb="5">
      <t>テイ</t>
    </rPh>
    <rPh sb="6" eb="7">
      <t>コウ</t>
    </rPh>
    <phoneticPr fontId="7"/>
  </si>
  <si>
    <t>上記以外に営業力・マネジメントの課題におけるお悩みがあればご記載ください。</t>
    <rPh sb="0" eb="2">
      <t>ジョウキ</t>
    </rPh>
    <rPh sb="2" eb="4">
      <t>イガイ</t>
    </rPh>
    <rPh sb="5" eb="7">
      <t>エイギョウ</t>
    </rPh>
    <rPh sb="7" eb="8">
      <t>リョク</t>
    </rPh>
    <rPh sb="16" eb="18">
      <t>カダイ</t>
    </rPh>
    <rPh sb="23" eb="24">
      <t>ナヤ</t>
    </rPh>
    <rPh sb="30" eb="32">
      <t>キサイ</t>
    </rPh>
    <phoneticPr fontId="7"/>
  </si>
  <si>
    <t>-</t>
    <phoneticPr fontId="7"/>
  </si>
  <si>
    <t>営業プロセスが見えないため、属人化となっている</t>
    <rPh sb="0" eb="2">
      <t>エイギョウ</t>
    </rPh>
    <rPh sb="7" eb="8">
      <t>ミ</t>
    </rPh>
    <rPh sb="14" eb="16">
      <t>ゾクジン</t>
    </rPh>
    <rPh sb="16" eb="17">
      <t>カ</t>
    </rPh>
    <phoneticPr fontId="7"/>
  </si>
  <si>
    <t>その日の日報で確認しているが、進捗具合がわかりずらい</t>
    <rPh sb="2" eb="3">
      <t>ヒ</t>
    </rPh>
    <rPh sb="4" eb="6">
      <t>ニッポウ</t>
    </rPh>
    <rPh sb="7" eb="9">
      <t>カクニン</t>
    </rPh>
    <rPh sb="15" eb="17">
      <t>シンチョク</t>
    </rPh>
    <rPh sb="17" eb="19">
      <t>グアイ</t>
    </rPh>
    <phoneticPr fontId="7"/>
  </si>
  <si>
    <t>情報の共有が曖昧で、上司と部下内でのコミュニケーションがとれていない</t>
    <rPh sb="0" eb="2">
      <t>ジョウホウ</t>
    </rPh>
    <rPh sb="3" eb="5">
      <t>キョウユウ</t>
    </rPh>
    <rPh sb="6" eb="8">
      <t>アイマイ</t>
    </rPh>
    <rPh sb="10" eb="12">
      <t>ジョウシ</t>
    </rPh>
    <rPh sb="13" eb="15">
      <t>ブカ</t>
    </rPh>
    <rPh sb="15" eb="16">
      <t>ナイ</t>
    </rPh>
    <phoneticPr fontId="7"/>
  </si>
  <si>
    <t>フォーキャスト管理が営業の主観メインとなり、ズレが生じている</t>
    <rPh sb="7" eb="9">
      <t>カンリ</t>
    </rPh>
    <rPh sb="10" eb="12">
      <t>エイギョウ</t>
    </rPh>
    <rPh sb="13" eb="15">
      <t>シュカン</t>
    </rPh>
    <rPh sb="25" eb="26">
      <t>ショウ</t>
    </rPh>
    <phoneticPr fontId="7"/>
  </si>
  <si>
    <r>
      <t>SFA</t>
    </r>
    <r>
      <rPr>
        <sz val="11"/>
        <color rgb="FF000000"/>
        <rFont val="ＭＳ Ｐゴシック"/>
        <family val="3"/>
        <charset val="128"/>
      </rPr>
      <t>導入のプロジェクトリーダーがいる</t>
    </r>
    <rPh sb="3" eb="5">
      <t>ドウニュウ</t>
    </rPh>
    <phoneticPr fontId="7"/>
  </si>
  <si>
    <t>システム管理者がいる</t>
    <rPh sb="4" eb="7">
      <t>カンリシャ</t>
    </rPh>
    <phoneticPr fontId="7"/>
  </si>
  <si>
    <t>マーケティング担当者がいる</t>
    <rPh sb="7" eb="10">
      <t>タントウシャ</t>
    </rPh>
    <phoneticPr fontId="7"/>
  </si>
  <si>
    <t>営業施策の分析を行う担当者がいる</t>
    <rPh sb="0" eb="2">
      <t>エイギョウ</t>
    </rPh>
    <rPh sb="10" eb="13">
      <t>タントウシャ</t>
    </rPh>
    <phoneticPr fontId="7"/>
  </si>
  <si>
    <t>-</t>
    <phoneticPr fontId="7"/>
  </si>
  <si>
    <t>営業マネージャーがいる</t>
    <phoneticPr fontId="7"/>
  </si>
  <si>
    <t>フィールドセールスがいる</t>
    <phoneticPr fontId="7"/>
  </si>
  <si>
    <t>KPIについて</t>
    <phoneticPr fontId="7"/>
  </si>
  <si>
    <r>
      <t>6500</t>
    </r>
    <r>
      <rPr>
        <sz val="11"/>
        <color theme="0" tint="-0.499984740745262"/>
        <rFont val="ＭＳ Ｐゴシック"/>
        <family val="3"/>
        <charset val="128"/>
      </rPr>
      <t>社</t>
    </r>
    <rPh sb="4" eb="5">
      <t>シャ</t>
    </rPh>
    <phoneticPr fontId="7"/>
  </si>
  <si>
    <t>月間20社目標</t>
    <rPh sb="0" eb="2">
      <t>ゲッカン</t>
    </rPh>
    <rPh sb="4" eb="5">
      <t>シャ</t>
    </rPh>
    <rPh sb="5" eb="7">
      <t>モクヒョウ</t>
    </rPh>
    <phoneticPr fontId="7"/>
  </si>
  <si>
    <t>月間10社目標</t>
    <rPh sb="0" eb="2">
      <t>ゲッカン</t>
    </rPh>
    <rPh sb="4" eb="5">
      <t>シャ</t>
    </rPh>
    <rPh sb="5" eb="7">
      <t>モクヒョウ</t>
    </rPh>
    <phoneticPr fontId="7"/>
  </si>
  <si>
    <t>月間3社目標</t>
    <rPh sb="0" eb="2">
      <t>ゲッカン</t>
    </rPh>
    <rPh sb="3" eb="4">
      <t>シャ</t>
    </rPh>
    <rPh sb="4" eb="6">
      <t>モクヒョウ</t>
    </rPh>
    <phoneticPr fontId="7"/>
  </si>
  <si>
    <t>月間1社目標</t>
    <rPh sb="0" eb="2">
      <t>ゲッカン</t>
    </rPh>
    <rPh sb="3" eb="4">
      <t>シャ</t>
    </rPh>
    <rPh sb="4" eb="6">
      <t>モクヒョウ</t>
    </rPh>
    <phoneticPr fontId="7"/>
  </si>
  <si>
    <t>★残業代などの人件費を削減したい</t>
    <phoneticPr fontId="7"/>
  </si>
  <si>
    <r>
      <rPr>
        <sz val="11"/>
        <color rgb="FF000000"/>
        <rFont val="ＭＳ Ｐゴシック"/>
        <family val="3"/>
        <charset val="128"/>
      </rPr>
      <t>★システムと</t>
    </r>
    <r>
      <rPr>
        <sz val="11"/>
        <color rgb="FF000000"/>
        <rFont val="Arial"/>
        <family val="2"/>
      </rPr>
      <t>Excel</t>
    </r>
    <r>
      <rPr>
        <sz val="11"/>
        <color rgb="FF000000"/>
        <rFont val="ＭＳ Ｐゴシック"/>
        <family val="3"/>
        <charset val="128"/>
      </rPr>
      <t>で二重管理をおこなっている</t>
    </r>
    <rPh sb="12" eb="14">
      <t>ニジュウ</t>
    </rPh>
    <rPh sb="14" eb="16">
      <t>カンリ</t>
    </rPh>
    <phoneticPr fontId="7"/>
  </si>
  <si>
    <t>★日報やメールでのやり取りのため提出・記載に手間がかかる</t>
    <phoneticPr fontId="7"/>
  </si>
  <si>
    <t>★部下へ適切な指示出しができている</t>
    <rPh sb="1" eb="3">
      <t>ブカ</t>
    </rPh>
    <rPh sb="4" eb="6">
      <t>テキセツ</t>
    </rPh>
    <rPh sb="7" eb="9">
      <t>シジ</t>
    </rPh>
    <rPh sb="9" eb="10">
      <t>ダ</t>
    </rPh>
    <phoneticPr fontId="7"/>
  </si>
  <si>
    <t>★部下がいつ、どこで、何をやっているかわからない</t>
    <phoneticPr fontId="7"/>
  </si>
  <si>
    <t>★営業活動の抜け漏れ、手戻りをなくしたい</t>
    <phoneticPr fontId="7"/>
  </si>
  <si>
    <t>★売上予測を正確にしたい</t>
    <phoneticPr fontId="7"/>
  </si>
  <si>
    <r>
      <rPr>
        <sz val="11"/>
        <color rgb="FF000000"/>
        <rFont val="ＭＳ Ｐゴシック"/>
        <family val="3"/>
        <charset val="128"/>
      </rPr>
      <t>▲</t>
    </r>
    <r>
      <rPr>
        <sz val="11"/>
        <color rgb="FF000000"/>
        <rFont val="Arial"/>
        <family val="2"/>
      </rPr>
      <t>SFA</t>
    </r>
    <r>
      <rPr>
        <sz val="11"/>
        <color rgb="FF000000"/>
        <rFont val="ＭＳ Ｐゴシック"/>
        <family val="3"/>
        <charset val="128"/>
      </rPr>
      <t>を導入する（した）際の目標を記入してください
　</t>
    </r>
    <r>
      <rPr>
        <sz val="11"/>
        <color rgb="FF000000"/>
        <rFont val="Arial"/>
        <family val="2"/>
      </rPr>
      <t>SFA</t>
    </r>
    <r>
      <rPr>
        <sz val="11"/>
        <color rgb="FF000000"/>
        <rFont val="ＭＳ Ｐゴシック"/>
        <family val="3"/>
        <charset val="128"/>
      </rPr>
      <t xml:space="preserve">にどのような効果を期待していますか
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ＭＳ Ｐゴシック"/>
        <family val="3"/>
        <charset val="128"/>
      </rPr>
      <t xml:space="preserve">　まずは目標をはっきりさせて、書き出してみましょう
</t>
    </r>
    <phoneticPr fontId="7"/>
  </si>
  <si>
    <t>▲各種部門を巻き込んで始めますか、自部門のみで始めますか</t>
    <phoneticPr fontId="7"/>
  </si>
  <si>
    <t>▲自組織の課題を記入してください</t>
    <phoneticPr fontId="7"/>
  </si>
  <si>
    <t>▲上記課題が解決されている目標になっていますか</t>
    <phoneticPr fontId="7"/>
  </si>
  <si>
    <t>▲課題解決の優先順位を決められていますか</t>
    <phoneticPr fontId="7"/>
  </si>
  <si>
    <t>▲KPIが定まっていますか</t>
    <rPh sb="5" eb="6">
      <t>サダ</t>
    </rPh>
    <phoneticPr fontId="7"/>
  </si>
  <si>
    <t>▲ターゲットになり得る顧客リスト(名前・アドレス取得済み)の数</t>
    <rPh sb="9" eb="10">
      <t>ウ</t>
    </rPh>
    <rPh sb="11" eb="13">
      <t>コキャク</t>
    </rPh>
    <rPh sb="17" eb="19">
      <t>ナマエ</t>
    </rPh>
    <rPh sb="24" eb="26">
      <t>シュトク</t>
    </rPh>
    <rPh sb="26" eb="27">
      <t>ズ</t>
    </rPh>
    <rPh sb="30" eb="31">
      <t>カズ</t>
    </rPh>
    <phoneticPr fontId="7"/>
  </si>
  <si>
    <t>▲目標の新規見込み獲得数は定まっていますか</t>
    <rPh sb="1" eb="3">
      <t>モクヒョウ</t>
    </rPh>
    <rPh sb="4" eb="6">
      <t>シンキ</t>
    </rPh>
    <rPh sb="6" eb="8">
      <t>ミコ</t>
    </rPh>
    <rPh sb="9" eb="12">
      <t>カクトクスウ</t>
    </rPh>
    <rPh sb="13" eb="14">
      <t>サダ</t>
    </rPh>
    <phoneticPr fontId="7"/>
  </si>
  <si>
    <t>▲目標のアポイント数は定まっていますか</t>
    <rPh sb="1" eb="3">
      <t>モクヒョウ</t>
    </rPh>
    <rPh sb="9" eb="10">
      <t>スウ</t>
    </rPh>
    <rPh sb="11" eb="12">
      <t>サダ</t>
    </rPh>
    <phoneticPr fontId="7"/>
  </si>
  <si>
    <t>▲目標の商談数は定まっていますか</t>
    <rPh sb="1" eb="3">
      <t>モクヒョウ</t>
    </rPh>
    <rPh sb="4" eb="6">
      <t>ショウダン</t>
    </rPh>
    <rPh sb="6" eb="7">
      <t>スウ</t>
    </rPh>
    <rPh sb="8" eb="9">
      <t>サダ</t>
    </rPh>
    <phoneticPr fontId="7"/>
  </si>
  <si>
    <t>▲目標の受注件数は定まっていますか</t>
    <rPh sb="1" eb="3">
      <t>モクヒョウ</t>
    </rPh>
    <rPh sb="4" eb="6">
      <t>ジュチュウ</t>
    </rPh>
    <rPh sb="6" eb="8">
      <t>ケンスウ</t>
    </rPh>
    <rPh sb="9" eb="10">
      <t>サダ</t>
    </rPh>
    <phoneticPr fontId="7"/>
  </si>
  <si>
    <t>★顧客情報を適切に管理できていますか</t>
    <rPh sb="1" eb="3">
      <t>コキャク</t>
    </rPh>
    <rPh sb="3" eb="5">
      <t>ジョウホウ</t>
    </rPh>
    <rPh sb="6" eb="8">
      <t>テキセツ</t>
    </rPh>
    <rPh sb="9" eb="11">
      <t>カンリ</t>
    </rPh>
    <phoneticPr fontId="7"/>
  </si>
  <si>
    <t>★客先の関係者を適切に管理できていますか</t>
    <rPh sb="1" eb="3">
      <t>キャクサキ</t>
    </rPh>
    <rPh sb="4" eb="7">
      <t>カンケイシャ</t>
    </rPh>
    <rPh sb="8" eb="10">
      <t>テキセツ</t>
    </rPh>
    <rPh sb="11" eb="13">
      <t>カンリ</t>
    </rPh>
    <phoneticPr fontId="7"/>
  </si>
  <si>
    <t>★名刺情報を管理できていますか</t>
    <rPh sb="1" eb="3">
      <t>メイシ</t>
    </rPh>
    <rPh sb="3" eb="5">
      <t>ジョウホウ</t>
    </rPh>
    <rPh sb="6" eb="8">
      <t>カンリ</t>
    </rPh>
    <phoneticPr fontId="7"/>
  </si>
  <si>
    <t>★顧客情報を全社で共有できていますか</t>
    <rPh sb="1" eb="3">
      <t>コキャク</t>
    </rPh>
    <rPh sb="3" eb="5">
      <t>ジョウホウ</t>
    </rPh>
    <rPh sb="6" eb="8">
      <t>ゼンシャ</t>
    </rPh>
    <rPh sb="9" eb="11">
      <t>キョウユウ</t>
    </rPh>
    <phoneticPr fontId="7"/>
  </si>
  <si>
    <t>★案件情報を適切に管理できていますか</t>
    <rPh sb="1" eb="3">
      <t>アンケン</t>
    </rPh>
    <rPh sb="3" eb="5">
      <t>ジョウホウ</t>
    </rPh>
    <rPh sb="6" eb="8">
      <t>テキセツ</t>
    </rPh>
    <rPh sb="9" eb="11">
      <t>カンリ</t>
    </rPh>
    <phoneticPr fontId="7"/>
  </si>
  <si>
    <t>★案件の進捗、分析がおこなわれていますか</t>
    <rPh sb="1" eb="3">
      <t>アンケン</t>
    </rPh>
    <rPh sb="4" eb="6">
      <t>シンチョク</t>
    </rPh>
    <rPh sb="7" eb="9">
      <t>ブンセキ</t>
    </rPh>
    <phoneticPr fontId="7"/>
  </si>
  <si>
    <t>★商談の開始から受注まで、フェーズの管理ができていますか</t>
    <rPh sb="1" eb="3">
      <t>ショウダン</t>
    </rPh>
    <rPh sb="4" eb="6">
      <t>カイシ</t>
    </rPh>
    <rPh sb="8" eb="10">
      <t>ジュチュウ</t>
    </rPh>
    <rPh sb="18" eb="20">
      <t>カンリ</t>
    </rPh>
    <phoneticPr fontId="7"/>
  </si>
  <si>
    <t>★営業プロセスが明確になっていますか</t>
    <rPh sb="1" eb="3">
      <t>エイギョウ</t>
    </rPh>
    <rPh sb="8" eb="10">
      <t>メイカク</t>
    </rPh>
    <phoneticPr fontId="7"/>
  </si>
  <si>
    <t>営業企画・営業推進がいる</t>
    <rPh sb="0" eb="2">
      <t>エイギョウ</t>
    </rPh>
    <rPh sb="2" eb="4">
      <t>キカク</t>
    </rPh>
    <rPh sb="5" eb="7">
      <t>エイギョウ</t>
    </rPh>
    <rPh sb="7" eb="9">
      <t>スイシン</t>
    </rPh>
    <phoneticPr fontId="7"/>
  </si>
  <si>
    <t>▲の質問にNOが多い場合、SFA導入において、明確な目標設定がされていない状況です。導入前に目標を明確にしましょう！</t>
    <rPh sb="2" eb="4">
      <t>シツモン</t>
    </rPh>
    <rPh sb="8" eb="9">
      <t>オオ</t>
    </rPh>
    <rPh sb="10" eb="12">
      <t>バアイ</t>
    </rPh>
    <rPh sb="16" eb="18">
      <t>ドウニュウ</t>
    </rPh>
    <rPh sb="23" eb="25">
      <t>メイカク</t>
    </rPh>
    <rPh sb="26" eb="28">
      <t>モクヒョウ</t>
    </rPh>
    <rPh sb="28" eb="30">
      <t>セッテイ</t>
    </rPh>
    <rPh sb="37" eb="39">
      <t>ジョウキョウ</t>
    </rPh>
    <rPh sb="42" eb="44">
      <t>ドウニュウ</t>
    </rPh>
    <rPh sb="44" eb="45">
      <t>マエ</t>
    </rPh>
    <rPh sb="46" eb="48">
      <t>モクヒョウ</t>
    </rPh>
    <rPh sb="49" eb="51">
      <t>メイカク</t>
    </rPh>
    <phoneticPr fontId="7"/>
  </si>
  <si>
    <t>上記、シートの入力でお困りでしたら選任担当がSFA導入前にヒアリングを行わせて頂きます。お気軽に右記までお問い合わせください。</t>
    <rPh sb="0" eb="2">
      <t>ジョウキ</t>
    </rPh>
    <rPh sb="7" eb="9">
      <t>ニュウリョク</t>
    </rPh>
    <rPh sb="11" eb="12">
      <t>コマ</t>
    </rPh>
    <rPh sb="17" eb="19">
      <t>センニン</t>
    </rPh>
    <rPh sb="19" eb="21">
      <t>タントウ</t>
    </rPh>
    <rPh sb="25" eb="27">
      <t>ドウニュウ</t>
    </rPh>
    <rPh sb="27" eb="28">
      <t>マエ</t>
    </rPh>
    <rPh sb="35" eb="36">
      <t>オコナ</t>
    </rPh>
    <rPh sb="39" eb="40">
      <t>イタダ</t>
    </rPh>
    <rPh sb="45" eb="47">
      <t>キガル</t>
    </rPh>
    <rPh sb="48" eb="50">
      <t>ウキ</t>
    </rPh>
    <rPh sb="53" eb="54">
      <t>ト</t>
    </rPh>
    <rPh sb="55" eb="56">
      <t>ア</t>
    </rPh>
    <phoneticPr fontId="7"/>
  </si>
  <si>
    <t>http://dps.intra-mart.jp/forsales//contact.html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</si>
</sst>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27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0" tint="-0.499984740745262"/>
      <name val="ＭＳ Ｐゴシック"/>
      <family val="3"/>
      <charset val="128"/>
    </font>
    <font>
      <sz val="11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0"/>
      <color theme="0" tint="-0.499984740745262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0"/>
      <color theme="10"/>
      <name val="Arial"/>
      <family val="2"/>
    </font>
    <font>
      <b/>
      <u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rgb="FF000000"/>
      </patternFill>
    </fill>
    <fill>
      <patternFill patternType="solid">
        <fgColor theme="9" tint="0.79998168889431442"/>
        <bgColor rgb="FF34A85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DAEFF"/>
        <bgColor rgb="FF46BDC6"/>
      </patternFill>
    </fill>
    <fill>
      <patternFill patternType="solid">
        <fgColor theme="9" tint="0.79998168889431442"/>
        <bgColor rgb="FFEEECE1"/>
      </patternFill>
    </fill>
    <fill>
      <patternFill patternType="solid">
        <fgColor rgb="FF0DAE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4" fillId="2" borderId="2" xfId="0" applyFont="1" applyFill="1" applyBorder="1" applyAlignment="1">
      <alignment horizontal="center"/>
    </xf>
    <xf numFmtId="0" fontId="0" fillId="0" borderId="0" xfId="0" applyFont="1" applyAlignment="1"/>
    <xf numFmtId="0" fontId="4" fillId="2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0" xfId="0" applyFont="1" applyAlignment="1"/>
    <xf numFmtId="0" fontId="1" fillId="0" borderId="0" xfId="0" applyFont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/>
    </xf>
    <xf numFmtId="0" fontId="5" fillId="3" borderId="4" xfId="0" applyFont="1" applyFill="1" applyBorder="1" applyAlignment="1"/>
    <xf numFmtId="0" fontId="3" fillId="4" borderId="5" xfId="0" applyFont="1" applyFill="1" applyBorder="1"/>
    <xf numFmtId="0" fontId="5" fillId="6" borderId="3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16" fillId="7" borderId="3" xfId="1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D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ps.intra-mart.jp/forsales/conta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2"/>
  <sheetViews>
    <sheetView tabSelected="1" view="pageBreakPreview" zoomScale="70" zoomScaleNormal="100" zoomScaleSheetLayoutView="70" workbookViewId="0">
      <selection sqref="A1:D1"/>
    </sheetView>
  </sheetViews>
  <sheetFormatPr defaultColWidth="14.44140625" defaultRowHeight="15.75" customHeight="1" x14ac:dyDescent="0.25"/>
  <cols>
    <col min="1" max="1" width="5.6640625" style="30" customWidth="1"/>
    <col min="2" max="2" width="125" style="10" customWidth="1"/>
    <col min="3" max="3" width="61.88671875" customWidth="1"/>
    <col min="4" max="4" width="61.88671875" style="14" customWidth="1"/>
  </cols>
  <sheetData>
    <row r="1" spans="1:25" ht="34.200000000000003" x14ac:dyDescent="0.6">
      <c r="A1" s="34" t="s">
        <v>10</v>
      </c>
      <c r="B1" s="34"/>
      <c r="C1" s="34"/>
      <c r="D1" s="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8" x14ac:dyDescent="0.25">
      <c r="A2" s="28" t="s">
        <v>0</v>
      </c>
      <c r="B2" s="7" t="s">
        <v>1</v>
      </c>
      <c r="C2" s="5" t="s">
        <v>2</v>
      </c>
      <c r="D2" s="11" t="s">
        <v>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 x14ac:dyDescent="0.25">
      <c r="A3" s="35" t="s">
        <v>3</v>
      </c>
      <c r="B3" s="36"/>
      <c r="C3" s="36"/>
      <c r="D3" s="1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79.2" x14ac:dyDescent="0.25">
      <c r="A4" s="25">
        <f>ROW()-3</f>
        <v>1</v>
      </c>
      <c r="B4" s="17" t="s">
        <v>76</v>
      </c>
      <c r="C4" s="21"/>
      <c r="D4" s="18" t="s">
        <v>17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25">
      <c r="A5" s="25">
        <f t="shared" ref="A5:A8" si="0">ROW()-3</f>
        <v>2</v>
      </c>
      <c r="B5" s="15" t="s">
        <v>77</v>
      </c>
      <c r="C5" s="21"/>
      <c r="D5" s="19" t="s">
        <v>32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25">
      <c r="A6" s="25">
        <f t="shared" si="0"/>
        <v>3</v>
      </c>
      <c r="B6" s="8" t="s">
        <v>78</v>
      </c>
      <c r="C6" s="21"/>
      <c r="D6" s="13" t="s">
        <v>36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25">
      <c r="A7" s="25">
        <f t="shared" si="0"/>
        <v>4</v>
      </c>
      <c r="B7" s="15" t="s">
        <v>79</v>
      </c>
      <c r="C7" s="21"/>
      <c r="D7" s="19" t="s">
        <v>48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s="6" customFormat="1" ht="30" customHeight="1" x14ac:dyDescent="0.25">
      <c r="A8" s="25">
        <f t="shared" si="0"/>
        <v>5</v>
      </c>
      <c r="B8" s="15" t="s">
        <v>80</v>
      </c>
      <c r="C8" s="21"/>
      <c r="D8" s="19" t="s">
        <v>49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30" customHeight="1" x14ac:dyDescent="0.25">
      <c r="A9" s="26" t="s">
        <v>4</v>
      </c>
      <c r="B9" s="20"/>
      <c r="C9" s="20"/>
      <c r="D9" s="2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25">
      <c r="A10" s="25">
        <f>ROW()-4</f>
        <v>6</v>
      </c>
      <c r="B10" s="16" t="s">
        <v>22</v>
      </c>
      <c r="C10" s="21"/>
      <c r="D10" s="19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25">
      <c r="A11" s="25">
        <f t="shared" ref="A11:A12" si="1">ROW()-4</f>
        <v>7</v>
      </c>
      <c r="B11" s="15" t="s">
        <v>5</v>
      </c>
      <c r="C11" s="21"/>
      <c r="D11" s="19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25">
      <c r="A12" s="25">
        <f t="shared" si="1"/>
        <v>8</v>
      </c>
      <c r="B12" s="16" t="s">
        <v>23</v>
      </c>
      <c r="C12" s="21"/>
      <c r="D12" s="19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25">
      <c r="A13" s="26" t="s">
        <v>6</v>
      </c>
      <c r="B13" s="20"/>
      <c r="C13" s="20"/>
      <c r="D13" s="2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25">
      <c r="A14" s="25">
        <f>ROW()-5</f>
        <v>9</v>
      </c>
      <c r="B14" s="15" t="s">
        <v>15</v>
      </c>
      <c r="C14" s="21"/>
      <c r="D14" s="19" t="s">
        <v>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s="6" customFormat="1" ht="30" customHeight="1" x14ac:dyDescent="0.25">
      <c r="A15" s="25">
        <f t="shared" ref="A15:A17" si="2">ROW()-5</f>
        <v>10</v>
      </c>
      <c r="B15" s="15" t="s">
        <v>46</v>
      </c>
      <c r="C15" s="21"/>
      <c r="D15" s="19" t="s">
        <v>47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0" customHeight="1" x14ac:dyDescent="0.25">
      <c r="A16" s="25">
        <f t="shared" si="2"/>
        <v>11</v>
      </c>
      <c r="B16" s="17" t="s">
        <v>24</v>
      </c>
      <c r="C16" s="21"/>
      <c r="D16" s="19" t="s">
        <v>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25">
      <c r="A17" s="25">
        <f t="shared" si="2"/>
        <v>12</v>
      </c>
      <c r="B17" s="17" t="s">
        <v>30</v>
      </c>
      <c r="C17" s="21"/>
      <c r="D17" s="22" t="s">
        <v>21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25">
      <c r="A18" s="27" t="s">
        <v>11</v>
      </c>
      <c r="B18" s="20"/>
      <c r="C18" s="20"/>
      <c r="D18" s="2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s="6" customFormat="1" ht="30" customHeight="1" x14ac:dyDescent="0.25">
      <c r="A19" s="25">
        <f>ROW()-6</f>
        <v>13</v>
      </c>
      <c r="B19" s="15" t="s">
        <v>87</v>
      </c>
      <c r="C19" s="21"/>
      <c r="D19" s="18" t="s">
        <v>28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s="6" customFormat="1" ht="30" customHeight="1" x14ac:dyDescent="0.25">
      <c r="A20" s="25">
        <f t="shared" ref="A20:A27" si="3">ROW()-6</f>
        <v>14</v>
      </c>
      <c r="B20" s="15" t="s">
        <v>88</v>
      </c>
      <c r="C20" s="21"/>
      <c r="D20" s="18" t="s">
        <v>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s="6" customFormat="1" ht="30" customHeight="1" x14ac:dyDescent="0.25">
      <c r="A21" s="25">
        <f t="shared" si="3"/>
        <v>15</v>
      </c>
      <c r="B21" s="15" t="s">
        <v>89</v>
      </c>
      <c r="C21" s="21"/>
      <c r="D21" s="18" t="s">
        <v>34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s="4" customFormat="1" ht="30" customHeight="1" x14ac:dyDescent="0.25">
      <c r="A22" s="25">
        <f t="shared" si="3"/>
        <v>16</v>
      </c>
      <c r="B22" s="15" t="s">
        <v>90</v>
      </c>
      <c r="C22" s="21"/>
      <c r="D22" s="19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0" customHeight="1" x14ac:dyDescent="0.25">
      <c r="A23" s="25">
        <f t="shared" si="3"/>
        <v>17</v>
      </c>
      <c r="B23" s="15" t="s">
        <v>91</v>
      </c>
      <c r="C23" s="21"/>
      <c r="D23" s="19" t="s">
        <v>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25">
      <c r="A24" s="25">
        <f t="shared" si="3"/>
        <v>18</v>
      </c>
      <c r="B24" s="15" t="s">
        <v>92</v>
      </c>
      <c r="C24" s="21"/>
      <c r="D24" s="19" t="s">
        <v>38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25">
      <c r="A25" s="25">
        <f t="shared" si="3"/>
        <v>19</v>
      </c>
      <c r="B25" s="15" t="s">
        <v>93</v>
      </c>
      <c r="C25" s="21"/>
      <c r="D25" s="19" t="s">
        <v>39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s="4" customFormat="1" ht="30" customHeight="1" x14ac:dyDescent="0.25">
      <c r="A26" s="25">
        <f t="shared" si="3"/>
        <v>20</v>
      </c>
      <c r="B26" s="15" t="s">
        <v>94</v>
      </c>
      <c r="C26" s="21"/>
      <c r="D26" s="19" t="s">
        <v>40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s="4" customFormat="1" ht="30" customHeight="1" x14ac:dyDescent="0.25">
      <c r="A27" s="25">
        <f t="shared" si="3"/>
        <v>21</v>
      </c>
      <c r="B27" s="15" t="s">
        <v>29</v>
      </c>
      <c r="C27" s="21"/>
      <c r="D27" s="18" t="s">
        <v>28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0" customHeight="1" x14ac:dyDescent="0.25">
      <c r="A28" s="27" t="s">
        <v>12</v>
      </c>
      <c r="B28" s="20"/>
      <c r="C28" s="20"/>
      <c r="D28" s="20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" customHeight="1" x14ac:dyDescent="0.25">
      <c r="A29" s="25">
        <f>ROW()-7</f>
        <v>22</v>
      </c>
      <c r="B29" s="15" t="s">
        <v>69</v>
      </c>
      <c r="C29" s="16"/>
      <c r="D29" s="19" t="s">
        <v>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s="6" customFormat="1" ht="30" customHeight="1" x14ac:dyDescent="0.25">
      <c r="A30" s="25">
        <f t="shared" ref="A30:A35" si="4">ROW()-7</f>
        <v>23</v>
      </c>
      <c r="B30" s="15" t="s">
        <v>41</v>
      </c>
      <c r="C30" s="21"/>
      <c r="D30" s="19" t="s">
        <v>42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30" customHeight="1" x14ac:dyDescent="0.25">
      <c r="A31" s="25">
        <f t="shared" si="4"/>
        <v>24</v>
      </c>
      <c r="B31" s="16" t="s">
        <v>70</v>
      </c>
      <c r="C31" s="16"/>
      <c r="D31" s="19" t="s">
        <v>27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s="6" customFormat="1" ht="30" customHeight="1" x14ac:dyDescent="0.25">
      <c r="A32" s="25">
        <f t="shared" si="4"/>
        <v>25</v>
      </c>
      <c r="B32" s="15" t="s">
        <v>41</v>
      </c>
      <c r="C32" s="21"/>
      <c r="D32" s="18" t="s">
        <v>43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30" customHeight="1" x14ac:dyDescent="0.25">
      <c r="A33" s="25">
        <f t="shared" si="4"/>
        <v>26</v>
      </c>
      <c r="B33" s="15" t="s">
        <v>71</v>
      </c>
      <c r="C33" s="16"/>
      <c r="D33" s="19" t="s">
        <v>27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s="6" customFormat="1" ht="30" customHeight="1" x14ac:dyDescent="0.25">
      <c r="A34" s="25">
        <f t="shared" si="4"/>
        <v>27</v>
      </c>
      <c r="B34" s="15" t="s">
        <v>41</v>
      </c>
      <c r="C34" s="21"/>
      <c r="D34" s="19" t="s">
        <v>44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s="4" customFormat="1" ht="30" customHeight="1" x14ac:dyDescent="0.25">
      <c r="A35" s="25">
        <f t="shared" si="4"/>
        <v>28</v>
      </c>
      <c r="B35" s="15" t="s">
        <v>16</v>
      </c>
      <c r="C35" s="21"/>
      <c r="D35" s="23" t="s">
        <v>45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s="3" customFormat="1" ht="30" customHeight="1" x14ac:dyDescent="0.25">
      <c r="A36" s="27" t="s">
        <v>13</v>
      </c>
      <c r="B36" s="20"/>
      <c r="C36" s="20"/>
      <c r="D36" s="2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s="3" customFormat="1" ht="30" customHeight="1" x14ac:dyDescent="0.25">
      <c r="A37" s="25">
        <f>ROW()-8</f>
        <v>29</v>
      </c>
      <c r="B37" s="24" t="s">
        <v>72</v>
      </c>
      <c r="C37" s="16"/>
      <c r="D37" s="19" t="s">
        <v>27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s="6" customFormat="1" ht="30" customHeight="1" x14ac:dyDescent="0.25">
      <c r="A38" s="25">
        <f t="shared" ref="A38:A45" si="5">ROW()-8</f>
        <v>30</v>
      </c>
      <c r="B38" s="15" t="s">
        <v>41</v>
      </c>
      <c r="C38" s="21"/>
      <c r="D38" s="19" t="s">
        <v>52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s="3" customFormat="1" ht="30" customHeight="1" x14ac:dyDescent="0.25">
      <c r="A39" s="25">
        <f t="shared" si="5"/>
        <v>31</v>
      </c>
      <c r="B39" s="24" t="s">
        <v>73</v>
      </c>
      <c r="C39" s="16"/>
      <c r="D39" s="19" t="s">
        <v>27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s="6" customFormat="1" ht="30" customHeight="1" x14ac:dyDescent="0.25">
      <c r="A40" s="25">
        <f t="shared" si="5"/>
        <v>32</v>
      </c>
      <c r="B40" s="15" t="s">
        <v>41</v>
      </c>
      <c r="C40" s="21"/>
      <c r="D40" s="19" t="s">
        <v>53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s="3" customFormat="1" ht="30" customHeight="1" x14ac:dyDescent="0.25">
      <c r="A41" s="25">
        <f t="shared" si="5"/>
        <v>33</v>
      </c>
      <c r="B41" s="24" t="s">
        <v>74</v>
      </c>
      <c r="C41" s="16"/>
      <c r="D41" s="19" t="s">
        <v>27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s="3" customFormat="1" ht="30" customHeight="1" x14ac:dyDescent="0.25">
      <c r="A42" s="25">
        <f t="shared" si="5"/>
        <v>34</v>
      </c>
      <c r="B42" s="15" t="s">
        <v>41</v>
      </c>
      <c r="C42" s="21"/>
      <c r="D42" s="18" t="s">
        <v>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s="3" customFormat="1" ht="30" customHeight="1" x14ac:dyDescent="0.25">
      <c r="A43" s="25">
        <f t="shared" si="5"/>
        <v>35</v>
      </c>
      <c r="B43" s="24" t="s">
        <v>75</v>
      </c>
      <c r="C43" s="16"/>
      <c r="D43" s="19" t="s">
        <v>27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s="3" customFormat="1" ht="30" customHeight="1" x14ac:dyDescent="0.25">
      <c r="A44" s="25">
        <f t="shared" si="5"/>
        <v>36</v>
      </c>
      <c r="B44" s="15" t="s">
        <v>41</v>
      </c>
      <c r="C44" s="21"/>
      <c r="D44" s="19" t="s">
        <v>55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s="3" customFormat="1" ht="30" customHeight="1" x14ac:dyDescent="0.25">
      <c r="A45" s="25">
        <f t="shared" si="5"/>
        <v>37</v>
      </c>
      <c r="B45" s="15" t="s">
        <v>50</v>
      </c>
      <c r="C45" s="21"/>
      <c r="D45" s="22" t="s">
        <v>51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30" customHeight="1" x14ac:dyDescent="0.25">
      <c r="A46" s="26" t="s">
        <v>7</v>
      </c>
      <c r="B46" s="20"/>
      <c r="C46" s="20"/>
      <c r="D46" s="2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0" customHeight="1" x14ac:dyDescent="0.25">
      <c r="A47" s="25">
        <f>ROW()-9</f>
        <v>38</v>
      </c>
      <c r="B47" s="15" t="s">
        <v>62</v>
      </c>
      <c r="C47" s="16"/>
      <c r="D47" s="22" t="s">
        <v>60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s="6" customFormat="1" ht="30" customHeight="1" x14ac:dyDescent="0.25">
      <c r="A48" s="25">
        <f t="shared" ref="A48:A50" si="6">ROW()-9</f>
        <v>39</v>
      </c>
      <c r="B48" s="15" t="s">
        <v>61</v>
      </c>
      <c r="C48" s="16"/>
      <c r="D48" s="22" t="s">
        <v>60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30" customHeight="1" x14ac:dyDescent="0.25">
      <c r="A49" s="25">
        <f t="shared" ref="A49:A54" si="7">ROW()-9</f>
        <v>40</v>
      </c>
      <c r="B49" s="15" t="s">
        <v>59</v>
      </c>
      <c r="C49" s="16"/>
      <c r="D49" s="22" t="s">
        <v>60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s="6" customFormat="1" ht="30" customHeight="1" x14ac:dyDescent="0.25">
      <c r="A50" s="25">
        <f t="shared" si="6"/>
        <v>41</v>
      </c>
      <c r="B50" s="15" t="s">
        <v>95</v>
      </c>
      <c r="C50" s="16"/>
      <c r="D50" s="22" t="s">
        <v>60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30" customHeight="1" x14ac:dyDescent="0.25">
      <c r="A51" s="25">
        <f t="shared" si="7"/>
        <v>42</v>
      </c>
      <c r="B51" s="15" t="s">
        <v>57</v>
      </c>
      <c r="C51" s="16"/>
      <c r="D51" s="22" t="s">
        <v>60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0" customHeight="1" x14ac:dyDescent="0.25">
      <c r="A52" s="25">
        <f t="shared" si="7"/>
        <v>43</v>
      </c>
      <c r="B52" s="15" t="s">
        <v>58</v>
      </c>
      <c r="C52" s="16"/>
      <c r="D52" s="22" t="s">
        <v>60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0" customHeight="1" x14ac:dyDescent="0.25">
      <c r="A53" s="25">
        <f t="shared" si="7"/>
        <v>44</v>
      </c>
      <c r="B53" s="16" t="s">
        <v>8</v>
      </c>
      <c r="C53" s="16"/>
      <c r="D53" s="22" t="s">
        <v>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0" customHeight="1" x14ac:dyDescent="0.25">
      <c r="A54" s="25">
        <f t="shared" si="7"/>
        <v>45</v>
      </c>
      <c r="B54" s="16" t="s">
        <v>56</v>
      </c>
      <c r="C54" s="16"/>
      <c r="D54" s="22" t="s">
        <v>60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0" customHeight="1" x14ac:dyDescent="0.25">
      <c r="A55" s="27" t="s">
        <v>63</v>
      </c>
      <c r="B55" s="20"/>
      <c r="C55" s="20"/>
      <c r="D55" s="2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0" customHeight="1" x14ac:dyDescent="0.25">
      <c r="A56" s="25">
        <f>ROW()-10</f>
        <v>46</v>
      </c>
      <c r="B56" s="15" t="s">
        <v>81</v>
      </c>
      <c r="C56" s="16"/>
      <c r="D56" s="19" t="s">
        <v>27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s="6" customFormat="1" ht="30" customHeight="1" x14ac:dyDescent="0.25">
      <c r="A57" s="25">
        <f t="shared" ref="A57:A61" si="8">ROW()-10</f>
        <v>47</v>
      </c>
      <c r="B57" s="15" t="s">
        <v>82</v>
      </c>
      <c r="C57" s="16"/>
      <c r="D57" s="22" t="s">
        <v>64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s="6" customFormat="1" ht="30" customHeight="1" x14ac:dyDescent="0.25">
      <c r="A58" s="25">
        <f t="shared" si="8"/>
        <v>48</v>
      </c>
      <c r="B58" s="15" t="s">
        <v>83</v>
      </c>
      <c r="C58" s="16"/>
      <c r="D58" s="19" t="s">
        <v>65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s="6" customFormat="1" ht="30" customHeight="1" x14ac:dyDescent="0.25">
      <c r="A59" s="25">
        <f t="shared" si="8"/>
        <v>49</v>
      </c>
      <c r="B59" s="15" t="s">
        <v>84</v>
      </c>
      <c r="C59" s="16"/>
      <c r="D59" s="19" t="s">
        <v>66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30" customHeight="1" x14ac:dyDescent="0.25">
      <c r="A60" s="25">
        <f t="shared" si="8"/>
        <v>50</v>
      </c>
      <c r="B60" s="15" t="s">
        <v>85</v>
      </c>
      <c r="C60" s="16"/>
      <c r="D60" s="19" t="s">
        <v>67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30" customHeight="1" x14ac:dyDescent="0.25">
      <c r="A61" s="25">
        <f t="shared" si="8"/>
        <v>51</v>
      </c>
      <c r="B61" s="15" t="s">
        <v>86</v>
      </c>
      <c r="C61" s="16"/>
      <c r="D61" s="19" t="s">
        <v>68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x14ac:dyDescent="0.25">
      <c r="A62" s="29"/>
      <c r="B62" s="9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30.75" customHeight="1" x14ac:dyDescent="0.35">
      <c r="A63" s="31" t="s">
        <v>9</v>
      </c>
      <c r="B63" s="6"/>
      <c r="C63" s="6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x14ac:dyDescent="0.25">
      <c r="A64" s="6"/>
      <c r="B64" s="6"/>
      <c r="C64" s="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x14ac:dyDescent="0.25">
      <c r="A65" s="6"/>
      <c r="B65" s="6"/>
      <c r="C65" s="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29"/>
      <c r="B66" s="32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30" customHeight="1" x14ac:dyDescent="0.25">
      <c r="A67" s="29"/>
      <c r="B67" s="37" t="s">
        <v>14</v>
      </c>
      <c r="C67" s="3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30" customHeight="1" x14ac:dyDescent="0.25">
      <c r="A68" s="29"/>
      <c r="B68" s="38" t="s">
        <v>96</v>
      </c>
      <c r="C68" s="3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30" customHeight="1" x14ac:dyDescent="0.25">
      <c r="A69" s="29"/>
      <c r="B69" s="33" t="s">
        <v>97</v>
      </c>
      <c r="C69" s="40" t="s">
        <v>98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x14ac:dyDescent="0.25">
      <c r="A70" s="29"/>
      <c r="B70" s="9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x14ac:dyDescent="0.25">
      <c r="A71" s="29"/>
      <c r="B71" s="9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x14ac:dyDescent="0.25">
      <c r="A72" s="29"/>
      <c r="B72" s="9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29"/>
      <c r="B73" s="9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x14ac:dyDescent="0.25">
      <c r="A74" s="29"/>
      <c r="B74" s="9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x14ac:dyDescent="0.25">
      <c r="A75" s="29"/>
      <c r="B75" s="9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29"/>
      <c r="B76" s="9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x14ac:dyDescent="0.25">
      <c r="A77" s="29"/>
      <c r="B77" s="9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29"/>
      <c r="B78" s="9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x14ac:dyDescent="0.25">
      <c r="A79" s="29"/>
      <c r="B79" s="9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29"/>
      <c r="B80" s="9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29"/>
      <c r="B81" s="9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29"/>
      <c r="B82" s="9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29"/>
      <c r="B83" s="9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29"/>
      <c r="B84" s="9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x14ac:dyDescent="0.25">
      <c r="A85" s="29"/>
      <c r="B85" s="9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29"/>
      <c r="B86" s="9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x14ac:dyDescent="0.25">
      <c r="A87" s="29"/>
      <c r="B87" s="9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x14ac:dyDescent="0.25">
      <c r="A88" s="29"/>
      <c r="B88" s="9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x14ac:dyDescent="0.25">
      <c r="A89" s="29"/>
      <c r="B89" s="9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x14ac:dyDescent="0.25">
      <c r="A90" s="29"/>
      <c r="B90" s="9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29"/>
      <c r="B91" s="9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x14ac:dyDescent="0.25">
      <c r="A92" s="29"/>
      <c r="B92" s="9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x14ac:dyDescent="0.25">
      <c r="A93" s="29"/>
      <c r="B93" s="9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x14ac:dyDescent="0.25">
      <c r="A94" s="29"/>
      <c r="B94" s="9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29"/>
      <c r="B95" s="9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29"/>
      <c r="B96" s="9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x14ac:dyDescent="0.25">
      <c r="A97" s="29"/>
      <c r="B97" s="9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x14ac:dyDescent="0.25">
      <c r="A98" s="29"/>
      <c r="B98" s="9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29"/>
      <c r="B99" s="9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29"/>
      <c r="B100" s="9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29"/>
      <c r="B101" s="9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29"/>
      <c r="B102" s="9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29"/>
      <c r="B103" s="9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29"/>
      <c r="B104" s="9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29"/>
      <c r="B105" s="9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29"/>
      <c r="B106" s="9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29"/>
      <c r="B107" s="9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29"/>
      <c r="B108" s="9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29"/>
      <c r="B109" s="9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29"/>
      <c r="B110" s="9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29"/>
      <c r="B111" s="9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29"/>
      <c r="B112" s="9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29"/>
      <c r="B113" s="9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29"/>
      <c r="B114" s="9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29"/>
      <c r="B115" s="9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29"/>
      <c r="B116" s="9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29"/>
      <c r="B117" s="9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29"/>
      <c r="B118" s="9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29"/>
      <c r="B119" s="9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29"/>
      <c r="B120" s="9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29"/>
      <c r="B121" s="9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29"/>
      <c r="B122" s="9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29"/>
      <c r="B123" s="9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29"/>
      <c r="B124" s="9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29"/>
      <c r="B125" s="9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29"/>
      <c r="B126" s="9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29"/>
      <c r="B127" s="9"/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29"/>
      <c r="B128" s="9"/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29"/>
      <c r="B129" s="9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29"/>
      <c r="B130" s="9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29"/>
      <c r="B131" s="9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29"/>
      <c r="B132" s="9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29"/>
      <c r="B133" s="9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29"/>
      <c r="B134" s="9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29"/>
      <c r="B135" s="9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29"/>
      <c r="B136" s="9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29"/>
      <c r="B137" s="9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29"/>
      <c r="B138" s="9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29"/>
      <c r="B139" s="9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29"/>
      <c r="B140" s="9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29"/>
      <c r="B141" s="9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29"/>
      <c r="B142" s="9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29"/>
      <c r="B143" s="9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29"/>
      <c r="B144" s="9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29"/>
      <c r="B145" s="9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29"/>
      <c r="B146" s="9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29"/>
      <c r="B147" s="9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29"/>
      <c r="B148" s="9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29"/>
      <c r="B149" s="9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29"/>
      <c r="B150" s="9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29"/>
      <c r="B151" s="9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29"/>
      <c r="B152" s="9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29"/>
      <c r="B153" s="9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29"/>
      <c r="B154" s="9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29"/>
      <c r="B155" s="9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29"/>
      <c r="B156" s="9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29"/>
      <c r="B157" s="9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29"/>
      <c r="B158" s="9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29"/>
      <c r="B159" s="9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29"/>
      <c r="B160" s="9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29"/>
      <c r="B161" s="9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29"/>
      <c r="B162" s="9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29"/>
      <c r="B163" s="9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29"/>
      <c r="B164" s="9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29"/>
      <c r="B165" s="9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29"/>
      <c r="B166" s="9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29"/>
      <c r="B167" s="9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29"/>
      <c r="B168" s="9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29"/>
      <c r="B169" s="9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29"/>
      <c r="B170" s="9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29"/>
      <c r="B171" s="9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29"/>
      <c r="B172" s="9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29"/>
      <c r="B173" s="9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29"/>
      <c r="B174" s="9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29"/>
      <c r="B175" s="9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29"/>
      <c r="B176" s="9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29"/>
      <c r="B177" s="9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29"/>
      <c r="B178" s="9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29"/>
      <c r="B179" s="9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29"/>
      <c r="B180" s="9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29"/>
      <c r="B181" s="9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29"/>
      <c r="B182" s="9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29"/>
      <c r="B183" s="9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29"/>
      <c r="B184" s="9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29"/>
      <c r="B185" s="9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29"/>
      <c r="B186" s="9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29"/>
      <c r="B187" s="9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29"/>
      <c r="B188" s="9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29"/>
      <c r="B189" s="9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29"/>
      <c r="B190" s="9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29"/>
      <c r="B191" s="9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29"/>
      <c r="B192" s="9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29"/>
      <c r="B193" s="9"/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29"/>
      <c r="B194" s="9"/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29"/>
      <c r="B195" s="9"/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29"/>
      <c r="B196" s="9"/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29"/>
      <c r="B197" s="9"/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29"/>
      <c r="B198" s="9"/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29"/>
      <c r="B199" s="9"/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29"/>
      <c r="B200" s="9"/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29"/>
      <c r="B201" s="9"/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29"/>
      <c r="B202" s="9"/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29"/>
      <c r="B203" s="9"/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29"/>
      <c r="B204" s="9"/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29"/>
      <c r="B205" s="9"/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29"/>
      <c r="B206" s="9"/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29"/>
      <c r="B207" s="9"/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29"/>
      <c r="B208" s="9"/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29"/>
      <c r="B209" s="9"/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29"/>
      <c r="B210" s="9"/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29"/>
      <c r="B211" s="9"/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29"/>
      <c r="B212" s="9"/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29"/>
      <c r="B213" s="9"/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29"/>
      <c r="B214" s="9"/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29"/>
      <c r="B215" s="9"/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29"/>
      <c r="B216" s="9"/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29"/>
      <c r="B217" s="9"/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29"/>
      <c r="B218" s="9"/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29"/>
      <c r="B219" s="9"/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29"/>
      <c r="B220" s="9"/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29"/>
      <c r="B221" s="9"/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29"/>
      <c r="B222" s="9"/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29"/>
      <c r="B223" s="9"/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29"/>
      <c r="B224" s="9"/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29"/>
      <c r="B225" s="9"/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29"/>
      <c r="B226" s="9"/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29"/>
      <c r="B227" s="9"/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29"/>
      <c r="B228" s="9"/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29"/>
      <c r="B229" s="9"/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29"/>
      <c r="B230" s="9"/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29"/>
      <c r="B231" s="9"/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29"/>
      <c r="B232" s="9"/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29"/>
      <c r="B233" s="9"/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29"/>
      <c r="B234" s="9"/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29"/>
      <c r="B235" s="9"/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29"/>
      <c r="B236" s="9"/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29"/>
      <c r="B237" s="9"/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29"/>
      <c r="B238" s="9"/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29"/>
      <c r="B239" s="9"/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29"/>
      <c r="B240" s="9"/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29"/>
      <c r="B241" s="9"/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29"/>
      <c r="B242" s="9"/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29"/>
      <c r="B243" s="9"/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29"/>
      <c r="B244" s="9"/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29"/>
      <c r="B245" s="9"/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29"/>
      <c r="B246" s="9"/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29"/>
      <c r="B247" s="9"/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29"/>
      <c r="B248" s="9"/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29"/>
      <c r="B249" s="9"/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29"/>
      <c r="B250" s="9"/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29"/>
      <c r="B251" s="9"/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29"/>
      <c r="B252" s="9"/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29"/>
      <c r="B253" s="9"/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29"/>
      <c r="B254" s="9"/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29"/>
      <c r="B255" s="9"/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29"/>
      <c r="B256" s="9"/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29"/>
      <c r="B257" s="9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29"/>
      <c r="B258" s="9"/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29"/>
      <c r="B259" s="9"/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29"/>
      <c r="B260" s="9"/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29"/>
      <c r="B261" s="9"/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29"/>
      <c r="B262" s="9"/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29"/>
      <c r="B263" s="9"/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29"/>
      <c r="B264" s="9"/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29"/>
      <c r="B265" s="9"/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29"/>
      <c r="B266" s="9"/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29"/>
      <c r="B267" s="9"/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29"/>
      <c r="B268" s="9"/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29"/>
      <c r="B269" s="9"/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29"/>
      <c r="B270" s="9"/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29"/>
      <c r="B271" s="9"/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29"/>
      <c r="B272" s="9"/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29"/>
      <c r="B273" s="9"/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29"/>
      <c r="B274" s="9"/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29"/>
      <c r="B275" s="9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29"/>
      <c r="B276" s="9"/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29"/>
      <c r="B277" s="9"/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29"/>
      <c r="B278" s="9"/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29"/>
      <c r="B279" s="9"/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29"/>
      <c r="B280" s="9"/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29"/>
      <c r="B281" s="9"/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29"/>
      <c r="B282" s="9"/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29"/>
      <c r="B283" s="9"/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29"/>
      <c r="B284" s="9"/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29"/>
      <c r="B285" s="9"/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29"/>
      <c r="B286" s="9"/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29"/>
      <c r="B287" s="9"/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29"/>
      <c r="B288" s="9"/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29"/>
      <c r="B289" s="9"/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29"/>
      <c r="B290" s="9"/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29"/>
      <c r="B291" s="9"/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29"/>
      <c r="B292" s="9"/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29"/>
      <c r="B293" s="9"/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29"/>
      <c r="B294" s="9"/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29"/>
      <c r="B295" s="9"/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29"/>
      <c r="B296" s="9"/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29"/>
      <c r="B297" s="9"/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29"/>
      <c r="B298" s="9"/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29"/>
      <c r="B299" s="9"/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29"/>
      <c r="B300" s="9"/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29"/>
      <c r="B301" s="9"/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29"/>
      <c r="B302" s="9"/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29"/>
      <c r="B303" s="9"/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29"/>
      <c r="B304" s="9"/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29"/>
      <c r="B305" s="9"/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29"/>
      <c r="B306" s="9"/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29"/>
      <c r="B307" s="9"/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29"/>
      <c r="B308" s="9"/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29"/>
      <c r="B309" s="9"/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29"/>
      <c r="B310" s="9"/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29"/>
      <c r="B311" s="9"/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29"/>
      <c r="B312" s="9"/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29"/>
      <c r="B313" s="9"/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29"/>
      <c r="B314" s="9"/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29"/>
      <c r="B315" s="9"/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29"/>
      <c r="B316" s="9"/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29"/>
      <c r="B317" s="9"/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29"/>
      <c r="B318" s="9"/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29"/>
      <c r="B319" s="9"/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29"/>
      <c r="B320" s="9"/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29"/>
      <c r="B321" s="9"/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29"/>
      <c r="B322" s="9"/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29"/>
      <c r="B323" s="9"/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29"/>
      <c r="B324" s="9"/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29"/>
      <c r="B325" s="9"/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29"/>
      <c r="B326" s="9"/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29"/>
      <c r="B327" s="9"/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29"/>
      <c r="B328" s="9"/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29"/>
      <c r="B329" s="9"/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29"/>
      <c r="B330" s="9"/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29"/>
      <c r="B331" s="9"/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29"/>
      <c r="B332" s="9"/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29"/>
      <c r="B333" s="9"/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29"/>
      <c r="B334" s="9"/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29"/>
      <c r="B335" s="9"/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29"/>
      <c r="B336" s="9"/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29"/>
      <c r="B337" s="9"/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29"/>
      <c r="B338" s="9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29"/>
      <c r="B339" s="9"/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29"/>
      <c r="B340" s="9"/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29"/>
      <c r="B341" s="9"/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29"/>
      <c r="B342" s="9"/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29"/>
      <c r="B343" s="9"/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29"/>
      <c r="B344" s="9"/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29"/>
      <c r="B345" s="9"/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29"/>
      <c r="B346" s="9"/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29"/>
      <c r="B347" s="9"/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29"/>
      <c r="B348" s="9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29"/>
      <c r="B349" s="9"/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29"/>
      <c r="B350" s="9"/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29"/>
      <c r="B351" s="9"/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29"/>
      <c r="B352" s="9"/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29"/>
      <c r="B353" s="9"/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29"/>
      <c r="B354" s="9"/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29"/>
      <c r="B355" s="9"/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29"/>
      <c r="B356" s="9"/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29"/>
      <c r="B357" s="9"/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29"/>
      <c r="B358" s="9"/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29"/>
      <c r="B359" s="9"/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29"/>
      <c r="B360" s="9"/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29"/>
      <c r="B361" s="9"/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29"/>
      <c r="B362" s="9"/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29"/>
      <c r="B363" s="9"/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29"/>
      <c r="B364" s="9"/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29"/>
      <c r="B365" s="9"/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29"/>
      <c r="B366" s="9"/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29"/>
      <c r="B367" s="9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29"/>
      <c r="B368" s="9"/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29"/>
      <c r="B369" s="9"/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29"/>
      <c r="B370" s="9"/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29"/>
      <c r="B371" s="9"/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29"/>
      <c r="B372" s="9"/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29"/>
      <c r="B373" s="9"/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29"/>
      <c r="B374" s="9"/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29"/>
      <c r="B375" s="9"/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29"/>
      <c r="B376" s="9"/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29"/>
      <c r="B377" s="9"/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29"/>
      <c r="B378" s="9"/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29"/>
      <c r="B379" s="9"/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29"/>
      <c r="B380" s="9"/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29"/>
      <c r="B381" s="9"/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29"/>
      <c r="B382" s="9"/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29"/>
      <c r="B383" s="9"/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29"/>
      <c r="B384" s="9"/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29"/>
      <c r="B385" s="9"/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29"/>
      <c r="B386" s="9"/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29"/>
      <c r="B387" s="9"/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29"/>
      <c r="B388" s="9"/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29"/>
      <c r="B389" s="9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29"/>
      <c r="B390" s="9"/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29"/>
      <c r="B391" s="9"/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29"/>
      <c r="B392" s="9"/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29"/>
      <c r="B393" s="9"/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29"/>
      <c r="B394" s="9"/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29"/>
      <c r="B395" s="9"/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29"/>
      <c r="B396" s="9"/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29"/>
      <c r="B397" s="9"/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29"/>
      <c r="B398" s="9"/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29"/>
      <c r="B399" s="9"/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29"/>
      <c r="B400" s="9"/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29"/>
      <c r="B401" s="9"/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29"/>
      <c r="B402" s="9"/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29"/>
      <c r="B403" s="9"/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29"/>
      <c r="B404" s="9"/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29"/>
      <c r="B405" s="9"/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29"/>
      <c r="B406" s="9"/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29"/>
      <c r="B407" s="9"/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29"/>
      <c r="B408" s="9"/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29"/>
      <c r="B409" s="9"/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29"/>
      <c r="B410" s="9"/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29"/>
      <c r="B411" s="9"/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29"/>
      <c r="B412" s="9"/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29"/>
      <c r="B413" s="9"/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29"/>
      <c r="B414" s="9"/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29"/>
      <c r="B415" s="9"/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29"/>
      <c r="B416" s="9"/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29"/>
      <c r="B417" s="9"/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29"/>
      <c r="B418" s="9"/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29"/>
      <c r="B419" s="9"/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29"/>
      <c r="B420" s="9"/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29"/>
      <c r="B421" s="9"/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29"/>
      <c r="B422" s="9"/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29"/>
      <c r="B423" s="9"/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29"/>
      <c r="B424" s="9"/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29"/>
      <c r="B425" s="9"/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29"/>
      <c r="B426" s="9"/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29"/>
      <c r="B427" s="9"/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29"/>
      <c r="B428" s="9"/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29"/>
      <c r="B429" s="9"/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29"/>
      <c r="B430" s="9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29"/>
      <c r="B431" s="9"/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29"/>
      <c r="B432" s="9"/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29"/>
      <c r="B433" s="9"/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29"/>
      <c r="B434" s="9"/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29"/>
      <c r="B435" s="9"/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29"/>
      <c r="B436" s="9"/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29"/>
      <c r="B437" s="9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29"/>
      <c r="B438" s="9"/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29"/>
      <c r="B439" s="9"/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29"/>
      <c r="B440" s="9"/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29"/>
      <c r="B441" s="9"/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29"/>
      <c r="B442" s="9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29"/>
      <c r="B443" s="9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29"/>
      <c r="B444" s="9"/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29"/>
      <c r="B445" s="9"/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29"/>
      <c r="B446" s="9"/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29"/>
      <c r="B447" s="9"/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29"/>
      <c r="B448" s="9"/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29"/>
      <c r="B449" s="9"/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29"/>
      <c r="B450" s="9"/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29"/>
      <c r="B451" s="9"/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29"/>
      <c r="B452" s="9"/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29"/>
      <c r="B453" s="9"/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29"/>
      <c r="B454" s="9"/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29"/>
      <c r="B455" s="9"/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29"/>
      <c r="B456" s="9"/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29"/>
      <c r="B457" s="9"/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29"/>
      <c r="B458" s="9"/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29"/>
      <c r="B459" s="9"/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29"/>
      <c r="B460" s="9"/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29"/>
      <c r="B461" s="9"/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29"/>
      <c r="B462" s="9"/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29"/>
      <c r="B463" s="9"/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29"/>
      <c r="B464" s="9"/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29"/>
      <c r="B465" s="9"/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29"/>
      <c r="B466" s="9"/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29"/>
      <c r="B467" s="9"/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29"/>
      <c r="B468" s="9"/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29"/>
      <c r="B469" s="9"/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29"/>
      <c r="B470" s="9"/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29"/>
      <c r="B471" s="9"/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29"/>
      <c r="B472" s="9"/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29"/>
      <c r="B473" s="9"/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29"/>
      <c r="B474" s="9"/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29"/>
      <c r="B475" s="9"/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29"/>
      <c r="B476" s="9"/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29"/>
      <c r="B477" s="9"/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29"/>
      <c r="B478" s="9"/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29"/>
      <c r="B479" s="9"/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29"/>
      <c r="B480" s="9"/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29"/>
      <c r="B481" s="9"/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29"/>
      <c r="B482" s="9"/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29"/>
      <c r="B483" s="9"/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29"/>
      <c r="B484" s="9"/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29"/>
      <c r="B485" s="9"/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29"/>
      <c r="B486" s="9"/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29"/>
      <c r="B487" s="9"/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29"/>
      <c r="B488" s="9"/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29"/>
      <c r="B489" s="9"/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29"/>
      <c r="B490" s="9"/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29"/>
      <c r="B491" s="9"/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29"/>
      <c r="B492" s="9"/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29"/>
      <c r="B493" s="9"/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29"/>
      <c r="B494" s="9"/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29"/>
      <c r="B495" s="9"/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29"/>
      <c r="B496" s="9"/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29"/>
      <c r="B497" s="9"/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29"/>
      <c r="B498" s="9"/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29"/>
      <c r="B499" s="9"/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29"/>
      <c r="B500" s="9"/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29"/>
      <c r="B501" s="9"/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29"/>
      <c r="B502" s="9"/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29"/>
      <c r="B503" s="9"/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29"/>
      <c r="B504" s="9"/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29"/>
      <c r="B505" s="9"/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29"/>
      <c r="B506" s="9"/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29"/>
      <c r="B507" s="9"/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29"/>
      <c r="B508" s="9"/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29"/>
      <c r="B509" s="9"/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29"/>
      <c r="B510" s="9"/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29"/>
      <c r="B511" s="9"/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29"/>
      <c r="B512" s="9"/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29"/>
      <c r="B513" s="9"/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29"/>
      <c r="B514" s="9"/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29"/>
      <c r="B515" s="9"/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29"/>
      <c r="B516" s="9"/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29"/>
      <c r="B517" s="9"/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29"/>
      <c r="B518" s="9"/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29"/>
      <c r="B519" s="9"/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29"/>
      <c r="B520" s="9"/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29"/>
      <c r="B521" s="9"/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29"/>
      <c r="B522" s="9"/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29"/>
      <c r="B523" s="9"/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29"/>
      <c r="B524" s="9"/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29"/>
      <c r="B525" s="9"/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29"/>
      <c r="B526" s="9"/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29"/>
      <c r="B527" s="9"/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29"/>
      <c r="B528" s="9"/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29"/>
      <c r="B529" s="9"/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29"/>
      <c r="B530" s="9"/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29"/>
      <c r="B531" s="9"/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29"/>
      <c r="B532" s="9"/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29"/>
      <c r="B533" s="9"/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29"/>
      <c r="B534" s="9"/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29"/>
      <c r="B535" s="9"/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29"/>
      <c r="B536" s="9"/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29"/>
      <c r="B537" s="9"/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29"/>
      <c r="B538" s="9"/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29"/>
      <c r="B539" s="9"/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29"/>
      <c r="B540" s="9"/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29"/>
      <c r="B541" s="9"/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29"/>
      <c r="B542" s="9"/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29"/>
      <c r="B543" s="9"/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29"/>
      <c r="B544" s="9"/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29"/>
      <c r="B545" s="9"/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29"/>
      <c r="B546" s="9"/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29"/>
      <c r="B547" s="9"/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29"/>
      <c r="B548" s="9"/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29"/>
      <c r="B549" s="9"/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29"/>
      <c r="B550" s="9"/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29"/>
      <c r="B551" s="9"/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29"/>
      <c r="B552" s="9"/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29"/>
      <c r="B553" s="9"/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29"/>
      <c r="B554" s="9"/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29"/>
      <c r="B555" s="9"/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29"/>
      <c r="B556" s="9"/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29"/>
      <c r="B557" s="9"/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29"/>
      <c r="B558" s="9"/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29"/>
      <c r="B559" s="9"/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29"/>
      <c r="B560" s="9"/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29"/>
      <c r="B561" s="9"/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29"/>
      <c r="B562" s="9"/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29"/>
      <c r="B563" s="9"/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29"/>
      <c r="B564" s="9"/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29"/>
      <c r="B565" s="9"/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29"/>
      <c r="B566" s="9"/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29"/>
      <c r="B567" s="9"/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29"/>
      <c r="B568" s="9"/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29"/>
      <c r="B569" s="9"/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29"/>
      <c r="B570" s="9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29"/>
      <c r="B571" s="9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29"/>
      <c r="B572" s="9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29"/>
      <c r="B573" s="9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29"/>
      <c r="B574" s="9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29"/>
      <c r="B575" s="9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29"/>
      <c r="B576" s="9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29"/>
      <c r="B577" s="9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29"/>
      <c r="B578" s="9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29"/>
      <c r="B579" s="9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29"/>
      <c r="B580" s="9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29"/>
      <c r="B581" s="9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29"/>
      <c r="B582" s="9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29"/>
      <c r="B583" s="9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29"/>
      <c r="B584" s="9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29"/>
      <c r="B585" s="9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29"/>
      <c r="B586" s="9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29"/>
      <c r="B587" s="9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29"/>
      <c r="B588" s="9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29"/>
      <c r="B589" s="9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29"/>
      <c r="B590" s="9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29"/>
      <c r="B591" s="9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29"/>
      <c r="B592" s="9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29"/>
      <c r="B593" s="9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29"/>
      <c r="B594" s="9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29"/>
      <c r="B595" s="9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29"/>
      <c r="B596" s="9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29"/>
      <c r="B597" s="9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29"/>
      <c r="B598" s="9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29"/>
      <c r="B599" s="9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29"/>
      <c r="B600" s="9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29"/>
      <c r="B601" s="9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29"/>
      <c r="B602" s="9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29"/>
      <c r="B603" s="9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29"/>
      <c r="B604" s="9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29"/>
      <c r="B605" s="9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29"/>
      <c r="B606" s="9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29"/>
      <c r="B607" s="9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29"/>
      <c r="B608" s="9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29"/>
      <c r="B609" s="9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29"/>
      <c r="B610" s="9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29"/>
      <c r="B611" s="9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29"/>
      <c r="B612" s="9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29"/>
      <c r="B613" s="9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29"/>
      <c r="B614" s="9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29"/>
      <c r="B615" s="9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29"/>
      <c r="B616" s="9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29"/>
      <c r="B617" s="9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29"/>
      <c r="B618" s="9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29"/>
      <c r="B619" s="9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29"/>
      <c r="B620" s="9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29"/>
      <c r="B621" s="9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29"/>
      <c r="B622" s="9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29"/>
      <c r="B623" s="9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29"/>
      <c r="B624" s="9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29"/>
      <c r="B625" s="9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29"/>
      <c r="B626" s="9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29"/>
      <c r="B627" s="9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29"/>
      <c r="B628" s="9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29"/>
      <c r="B629" s="9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29"/>
      <c r="B630" s="9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29"/>
      <c r="B631" s="9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29"/>
      <c r="B632" s="9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29"/>
      <c r="B633" s="9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29"/>
      <c r="B634" s="9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29"/>
      <c r="B635" s="9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29"/>
      <c r="B636" s="9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29"/>
      <c r="B637" s="9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29"/>
      <c r="B638" s="9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29"/>
      <c r="B639" s="9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29"/>
      <c r="B640" s="9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29"/>
      <c r="B641" s="9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29"/>
      <c r="B642" s="9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29"/>
      <c r="B643" s="9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29"/>
      <c r="B644" s="9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29"/>
      <c r="B645" s="9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29"/>
      <c r="B646" s="9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29"/>
      <c r="B647" s="9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29"/>
      <c r="B648" s="9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29"/>
      <c r="B649" s="9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29"/>
      <c r="B650" s="9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29"/>
      <c r="B651" s="9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29"/>
      <c r="B652" s="9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29"/>
      <c r="B653" s="9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29"/>
      <c r="B654" s="9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29"/>
      <c r="B655" s="9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29"/>
      <c r="B656" s="9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29"/>
      <c r="B657" s="9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29"/>
      <c r="B658" s="9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29"/>
      <c r="B659" s="9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29"/>
      <c r="B660" s="9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29"/>
      <c r="B661" s="9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29"/>
      <c r="B662" s="9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29"/>
      <c r="B663" s="9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29"/>
      <c r="B664" s="9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29"/>
      <c r="B665" s="9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29"/>
      <c r="B666" s="9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29"/>
      <c r="B667" s="9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29"/>
      <c r="B668" s="9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29"/>
      <c r="B669" s="9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29"/>
      <c r="B670" s="9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29"/>
      <c r="B671" s="9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29"/>
      <c r="B672" s="9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29"/>
      <c r="B673" s="9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29"/>
      <c r="B674" s="9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29"/>
      <c r="B675" s="9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29"/>
      <c r="B676" s="9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29"/>
      <c r="B677" s="9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29"/>
      <c r="B678" s="9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29"/>
      <c r="B679" s="9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29"/>
      <c r="B680" s="9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29"/>
      <c r="B681" s="9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29"/>
      <c r="B682" s="9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29"/>
      <c r="B683" s="9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29"/>
      <c r="B684" s="9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29"/>
      <c r="B685" s="9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29"/>
      <c r="B686" s="9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29"/>
      <c r="B687" s="9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29"/>
      <c r="B688" s="9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29"/>
      <c r="B689" s="9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29"/>
      <c r="B690" s="9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29"/>
      <c r="B691" s="9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29"/>
      <c r="B692" s="9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29"/>
      <c r="B693" s="9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29"/>
      <c r="B694" s="9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29"/>
      <c r="B695" s="9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29"/>
      <c r="B696" s="9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29"/>
      <c r="B697" s="9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29"/>
      <c r="B698" s="9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29"/>
      <c r="B699" s="9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29"/>
      <c r="B700" s="9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29"/>
      <c r="B701" s="9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29"/>
      <c r="B702" s="9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29"/>
      <c r="B703" s="9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29"/>
      <c r="B704" s="9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29"/>
      <c r="B705" s="9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29"/>
      <c r="B706" s="9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29"/>
      <c r="B707" s="9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29"/>
      <c r="B708" s="9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29"/>
      <c r="B709" s="9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29"/>
      <c r="B710" s="9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29"/>
      <c r="B711" s="9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29"/>
      <c r="B712" s="9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29"/>
      <c r="B713" s="9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29"/>
      <c r="B714" s="9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29"/>
      <c r="B715" s="9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29"/>
      <c r="B716" s="9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29"/>
      <c r="B717" s="9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29"/>
      <c r="B718" s="9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29"/>
      <c r="B719" s="9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29"/>
      <c r="B720" s="9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29"/>
      <c r="B721" s="9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29"/>
      <c r="B722" s="9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29"/>
      <c r="B723" s="9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29"/>
      <c r="B724" s="9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29"/>
      <c r="B725" s="9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29"/>
      <c r="B726" s="9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29"/>
      <c r="B727" s="9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29"/>
      <c r="B728" s="9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29"/>
      <c r="B729" s="9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29"/>
      <c r="B730" s="9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29"/>
      <c r="B731" s="9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29"/>
      <c r="B732" s="9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29"/>
      <c r="B733" s="9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29"/>
      <c r="B734" s="9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29"/>
      <c r="B735" s="9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29"/>
      <c r="B736" s="9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29"/>
      <c r="B737" s="9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29"/>
      <c r="B738" s="9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29"/>
      <c r="B739" s="9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29"/>
      <c r="B740" s="9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29"/>
      <c r="B741" s="9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29"/>
      <c r="B742" s="9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29"/>
      <c r="B743" s="9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29"/>
      <c r="B744" s="9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29"/>
      <c r="B745" s="9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29"/>
      <c r="B746" s="9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29"/>
      <c r="B747" s="9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29"/>
      <c r="B748" s="9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29"/>
      <c r="B749" s="9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29"/>
      <c r="B750" s="9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29"/>
      <c r="B751" s="9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29"/>
      <c r="B752" s="9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29"/>
      <c r="B753" s="9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29"/>
      <c r="B754" s="9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29"/>
      <c r="B755" s="9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29"/>
      <c r="B756" s="9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29"/>
      <c r="B757" s="9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29"/>
      <c r="B758" s="9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29"/>
      <c r="B759" s="9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29"/>
      <c r="B760" s="9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29"/>
      <c r="B761" s="9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29"/>
      <c r="B762" s="9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29"/>
      <c r="B763" s="9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29"/>
      <c r="B764" s="9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29"/>
      <c r="B765" s="9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29"/>
      <c r="B766" s="9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29"/>
      <c r="B767" s="9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29"/>
      <c r="B768" s="9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29"/>
      <c r="B769" s="9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29"/>
      <c r="B770" s="9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29"/>
      <c r="B771" s="9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29"/>
      <c r="B772" s="9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29"/>
      <c r="B773" s="9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29"/>
      <c r="B774" s="9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29"/>
      <c r="B775" s="9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29"/>
      <c r="B776" s="9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29"/>
      <c r="B777" s="9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29"/>
      <c r="B778" s="9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29"/>
      <c r="B779" s="9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29"/>
      <c r="B780" s="9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29"/>
      <c r="B781" s="9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29"/>
      <c r="B782" s="9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29"/>
      <c r="B783" s="9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29"/>
      <c r="B784" s="9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29"/>
      <c r="B785" s="9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29"/>
      <c r="B786" s="9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29"/>
      <c r="B787" s="9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29"/>
      <c r="B788" s="9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29"/>
      <c r="B789" s="9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29"/>
      <c r="B790" s="9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29"/>
      <c r="B791" s="9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29"/>
      <c r="B792" s="9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29"/>
      <c r="B793" s="9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29"/>
      <c r="B794" s="9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29"/>
      <c r="B795" s="9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29"/>
      <c r="B796" s="9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29"/>
      <c r="B797" s="9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29"/>
      <c r="B798" s="9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29"/>
      <c r="B799" s="9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29"/>
      <c r="B800" s="9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29"/>
      <c r="B801" s="9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29"/>
      <c r="B802" s="9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29"/>
      <c r="B803" s="9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29"/>
      <c r="B804" s="9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29"/>
      <c r="B805" s="9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29"/>
      <c r="B806" s="9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29"/>
      <c r="B807" s="9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29"/>
      <c r="B808" s="9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29"/>
      <c r="B809" s="9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29"/>
      <c r="B810" s="9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29"/>
      <c r="B811" s="9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29"/>
      <c r="B812" s="9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29"/>
      <c r="B813" s="9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29"/>
      <c r="B814" s="9"/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29"/>
      <c r="B815" s="9"/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29"/>
      <c r="B816" s="9"/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29"/>
      <c r="B817" s="9"/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29"/>
      <c r="B818" s="9"/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29"/>
      <c r="B819" s="9"/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29"/>
      <c r="B820" s="9"/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29"/>
      <c r="B821" s="9"/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29"/>
      <c r="B822" s="9"/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29"/>
      <c r="B823" s="9"/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29"/>
      <c r="B824" s="9"/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29"/>
      <c r="B825" s="9"/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29"/>
      <c r="B826" s="9"/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29"/>
      <c r="B827" s="9"/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29"/>
      <c r="B828" s="9"/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29"/>
      <c r="B829" s="9"/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29"/>
      <c r="B830" s="9"/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29"/>
      <c r="B831" s="9"/>
      <c r="C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29"/>
      <c r="B832" s="9"/>
      <c r="C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29"/>
      <c r="B833" s="9"/>
      <c r="C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29"/>
      <c r="B834" s="9"/>
      <c r="C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29"/>
      <c r="B835" s="9"/>
      <c r="C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29"/>
      <c r="B836" s="9"/>
      <c r="C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29"/>
      <c r="B837" s="9"/>
      <c r="C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29"/>
      <c r="B838" s="9"/>
      <c r="C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29"/>
      <c r="B839" s="9"/>
      <c r="C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29"/>
      <c r="B840" s="9"/>
      <c r="C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29"/>
      <c r="B841" s="9"/>
      <c r="C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29"/>
      <c r="B842" s="9"/>
      <c r="C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29"/>
      <c r="B843" s="9"/>
      <c r="C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29"/>
      <c r="B844" s="9"/>
      <c r="C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29"/>
      <c r="B845" s="9"/>
      <c r="C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29"/>
      <c r="B846" s="9"/>
      <c r="C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29"/>
      <c r="B847" s="9"/>
      <c r="C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29"/>
      <c r="B848" s="9"/>
      <c r="C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29"/>
      <c r="B849" s="9"/>
      <c r="C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29"/>
      <c r="B850" s="9"/>
      <c r="C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29"/>
      <c r="B851" s="9"/>
      <c r="C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29"/>
      <c r="B852" s="9"/>
      <c r="C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29"/>
      <c r="B853" s="9"/>
      <c r="C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29"/>
      <c r="B854" s="9"/>
      <c r="C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29"/>
      <c r="B855" s="9"/>
      <c r="C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29"/>
      <c r="B856" s="9"/>
      <c r="C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29"/>
      <c r="B857" s="9"/>
      <c r="C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29"/>
      <c r="B858" s="9"/>
      <c r="C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29"/>
      <c r="B859" s="9"/>
      <c r="C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29"/>
      <c r="B860" s="9"/>
      <c r="C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29"/>
      <c r="B861" s="9"/>
      <c r="C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29"/>
      <c r="B862" s="9"/>
      <c r="C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29"/>
      <c r="B863" s="9"/>
      <c r="C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29"/>
      <c r="B864" s="9"/>
      <c r="C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29"/>
      <c r="B865" s="9"/>
      <c r="C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29"/>
      <c r="B866" s="9"/>
      <c r="C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29"/>
      <c r="B867" s="9"/>
      <c r="C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29"/>
      <c r="B868" s="9"/>
      <c r="C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29"/>
      <c r="B869" s="9"/>
      <c r="C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29"/>
      <c r="B870" s="9"/>
      <c r="C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29"/>
      <c r="B871" s="9"/>
      <c r="C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29"/>
      <c r="B872" s="9"/>
      <c r="C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29"/>
      <c r="B873" s="9"/>
      <c r="C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29"/>
      <c r="B874" s="9"/>
      <c r="C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29"/>
      <c r="B875" s="9"/>
      <c r="C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29"/>
      <c r="B876" s="9"/>
      <c r="C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29"/>
      <c r="B877" s="9"/>
      <c r="C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29"/>
      <c r="B878" s="9"/>
      <c r="C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29"/>
      <c r="B879" s="9"/>
      <c r="C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29"/>
      <c r="B880" s="9"/>
      <c r="C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29"/>
      <c r="B881" s="9"/>
      <c r="C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29"/>
      <c r="B882" s="9"/>
      <c r="C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29"/>
      <c r="B883" s="9"/>
      <c r="C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29"/>
      <c r="B884" s="9"/>
      <c r="C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29"/>
      <c r="B885" s="9"/>
      <c r="C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29"/>
      <c r="B886" s="9"/>
      <c r="C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29"/>
      <c r="B887" s="9"/>
      <c r="C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29"/>
      <c r="B888" s="9"/>
      <c r="C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29"/>
      <c r="B889" s="9"/>
      <c r="C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29"/>
      <c r="B890" s="9"/>
      <c r="C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29"/>
      <c r="B891" s="9"/>
      <c r="C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29"/>
      <c r="B892" s="9"/>
      <c r="C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29"/>
      <c r="B893" s="9"/>
      <c r="C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29"/>
      <c r="B894" s="9"/>
      <c r="C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29"/>
      <c r="B895" s="9"/>
      <c r="C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29"/>
      <c r="B896" s="9"/>
      <c r="C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29"/>
      <c r="B897" s="9"/>
      <c r="C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29"/>
      <c r="B898" s="9"/>
      <c r="C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29"/>
      <c r="B899" s="9"/>
      <c r="C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29"/>
      <c r="B900" s="9"/>
      <c r="C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29"/>
      <c r="B901" s="9"/>
      <c r="C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29"/>
      <c r="B902" s="9"/>
      <c r="C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29"/>
      <c r="B903" s="9"/>
      <c r="C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29"/>
      <c r="B904" s="9"/>
      <c r="C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29"/>
      <c r="B905" s="9"/>
      <c r="C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29"/>
      <c r="B906" s="9"/>
      <c r="C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29"/>
      <c r="B907" s="9"/>
      <c r="C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29"/>
      <c r="B908" s="9"/>
      <c r="C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29"/>
      <c r="B909" s="9"/>
      <c r="C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29"/>
      <c r="B910" s="9"/>
      <c r="C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29"/>
      <c r="B911" s="9"/>
      <c r="C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29"/>
      <c r="B912" s="9"/>
      <c r="C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29"/>
      <c r="B913" s="9"/>
      <c r="C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29"/>
      <c r="B914" s="9"/>
      <c r="C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29"/>
      <c r="B915" s="9"/>
      <c r="C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29"/>
      <c r="B916" s="9"/>
      <c r="C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29"/>
      <c r="B917" s="9"/>
      <c r="C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29"/>
      <c r="B918" s="9"/>
      <c r="C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29"/>
      <c r="B919" s="9"/>
      <c r="C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29"/>
      <c r="B920" s="9"/>
      <c r="C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29"/>
      <c r="B921" s="9"/>
      <c r="C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29"/>
      <c r="B922" s="9"/>
      <c r="C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29"/>
      <c r="B923" s="9"/>
      <c r="C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29"/>
      <c r="B924" s="9"/>
      <c r="C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29"/>
      <c r="B925" s="9"/>
      <c r="C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29"/>
      <c r="B926" s="9"/>
      <c r="C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29"/>
      <c r="B927" s="9"/>
      <c r="C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29"/>
      <c r="B928" s="9"/>
      <c r="C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29"/>
      <c r="B929" s="9"/>
      <c r="C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29"/>
      <c r="B930" s="9"/>
      <c r="C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29"/>
      <c r="B931" s="9"/>
      <c r="C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29"/>
      <c r="B932" s="9"/>
      <c r="C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29"/>
      <c r="B933" s="9"/>
      <c r="C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29"/>
      <c r="B934" s="9"/>
      <c r="C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29"/>
      <c r="B935" s="9"/>
      <c r="C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29"/>
      <c r="B936" s="9"/>
      <c r="C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29"/>
      <c r="B937" s="9"/>
      <c r="C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29"/>
      <c r="B938" s="9"/>
      <c r="C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29"/>
      <c r="B939" s="9"/>
      <c r="C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29"/>
      <c r="B940" s="9"/>
      <c r="C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29"/>
      <c r="B941" s="9"/>
      <c r="C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29"/>
      <c r="B942" s="9"/>
      <c r="C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29"/>
      <c r="B943" s="9"/>
      <c r="C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29"/>
      <c r="B944" s="9"/>
      <c r="C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29"/>
      <c r="B945" s="9"/>
      <c r="C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29"/>
      <c r="B946" s="9"/>
      <c r="C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29"/>
      <c r="B947" s="9"/>
      <c r="C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29"/>
      <c r="B948" s="9"/>
      <c r="C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29"/>
      <c r="B949" s="9"/>
      <c r="C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29"/>
      <c r="B950" s="9"/>
      <c r="C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29"/>
      <c r="B951" s="9"/>
      <c r="C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29"/>
      <c r="B952" s="9"/>
      <c r="C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29"/>
      <c r="B953" s="9"/>
      <c r="C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29"/>
      <c r="B954" s="9"/>
      <c r="C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29"/>
      <c r="B955" s="9"/>
      <c r="C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29"/>
      <c r="B956" s="9"/>
      <c r="C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29"/>
      <c r="B957" s="9"/>
      <c r="C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29"/>
      <c r="B958" s="9"/>
      <c r="C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29"/>
      <c r="B959" s="9"/>
      <c r="C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29"/>
      <c r="B960" s="9"/>
      <c r="C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29"/>
      <c r="B961" s="9"/>
      <c r="C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29"/>
      <c r="B962" s="9"/>
      <c r="C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29"/>
      <c r="B963" s="9"/>
      <c r="C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29"/>
      <c r="B964" s="9"/>
      <c r="C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29"/>
      <c r="B965" s="9"/>
      <c r="C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29"/>
      <c r="B966" s="9"/>
      <c r="C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29"/>
      <c r="B967" s="9"/>
      <c r="C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29"/>
      <c r="B968" s="9"/>
      <c r="C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29"/>
      <c r="B969" s="9"/>
      <c r="C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29"/>
      <c r="B970" s="9"/>
      <c r="C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29"/>
      <c r="B971" s="9"/>
      <c r="C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29"/>
      <c r="B972" s="9"/>
      <c r="C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29"/>
      <c r="B973" s="9"/>
      <c r="C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29"/>
      <c r="B974" s="9"/>
      <c r="C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29"/>
      <c r="B975" s="9"/>
      <c r="C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29"/>
      <c r="B976" s="9"/>
      <c r="C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29"/>
      <c r="B977" s="9"/>
      <c r="C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29"/>
      <c r="B978" s="9"/>
      <c r="C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29"/>
      <c r="B979" s="9"/>
      <c r="C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29"/>
      <c r="B980" s="9"/>
      <c r="C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29"/>
      <c r="B981" s="9"/>
      <c r="C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29"/>
      <c r="B982" s="9"/>
      <c r="C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29"/>
      <c r="B983" s="9"/>
      <c r="C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29"/>
      <c r="B984" s="9"/>
      <c r="C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29"/>
      <c r="B985" s="9"/>
      <c r="C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29"/>
      <c r="B986" s="9"/>
      <c r="C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29"/>
      <c r="B987" s="9"/>
      <c r="C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29"/>
      <c r="B988" s="9"/>
      <c r="C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29"/>
      <c r="B989" s="9"/>
      <c r="C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29"/>
      <c r="B990" s="9"/>
      <c r="C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29"/>
      <c r="B991" s="9"/>
      <c r="C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29"/>
      <c r="B992" s="9"/>
      <c r="C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29"/>
      <c r="B993" s="9"/>
      <c r="C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29"/>
      <c r="B994" s="9"/>
      <c r="C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29"/>
      <c r="B995" s="9"/>
      <c r="C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29"/>
      <c r="B996" s="9"/>
      <c r="C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29"/>
      <c r="B997" s="9"/>
      <c r="C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29"/>
      <c r="B998" s="9"/>
      <c r="C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29"/>
      <c r="B999" s="9"/>
      <c r="C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29"/>
      <c r="B1000" s="9"/>
      <c r="C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29"/>
      <c r="B1001" s="9"/>
      <c r="C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29"/>
      <c r="B1002" s="9"/>
      <c r="C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4">
    <mergeCell ref="A1:D1"/>
    <mergeCell ref="A3:C3"/>
    <mergeCell ref="B67:C67"/>
    <mergeCell ref="B68:C68"/>
  </mergeCells>
  <phoneticPr fontId="7"/>
  <dataValidations count="2">
    <dataValidation type="list" allowBlank="1" showInputMessage="1" showErrorMessage="1" sqref="C47:C54 C37 C39 C41 C43 C56" xr:uid="{00000000-0002-0000-0000-000000000000}">
      <formula1>"Yes,No"</formula1>
    </dataValidation>
    <dataValidation type="list" allowBlank="1" showInputMessage="1" showErrorMessage="1" sqref="C33 C29 C31" xr:uid="{00000000-0002-0000-0000-000001000000}">
      <formula1>"そうである,どちらともいえない,あてはまらない"</formula1>
    </dataValidation>
  </dataValidations>
  <hyperlinks>
    <hyperlink ref="C69" r:id="rId1" xr:uid="{00000000-0004-0000-0000-000000000000}"/>
  </hyperlinks>
  <printOptions horizontalCentered="1" gridLines="1"/>
  <pageMargins left="0.7" right="0.7" top="0.75" bottom="0.75" header="0" footer="0"/>
  <pageSetup paperSize="9" scale="35" fitToHeight="0" pageOrder="overThenDown" orientation="portrait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1F98A6F5427F94787CB95B872BB25CC" ma:contentTypeVersion="16" ma:contentTypeDescription="新しいドキュメントを作成します。" ma:contentTypeScope="" ma:versionID="d9e88db90a99739ef5eefd51666f2aef">
  <xsd:schema xmlns:xsd="http://www.w3.org/2001/XMLSchema" xmlns:xs="http://www.w3.org/2001/XMLSchema" xmlns:p="http://schemas.microsoft.com/office/2006/metadata/properties" xmlns:ns2="001649b9-f546-4842-abb2-3628feb0925a" xmlns:ns3="eb2e98dd-0294-400e-bb9e-3de9b42dddfd" targetNamespace="http://schemas.microsoft.com/office/2006/metadata/properties" ma:root="true" ma:fieldsID="9e4cd9a80c772b6fe69715f6896d81c2" ns2:_="" ns3:_="">
    <xsd:import namespace="001649b9-f546-4842-abb2-3628feb0925a"/>
    <xsd:import namespace="eb2e98dd-0294-400e-bb9e-3de9b42dd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649b9-f546-4842-abb2-3628feb09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33486c-3ca2-48ee-a5ac-87e6decc86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e98dd-0294-400e-bb9e-3de9b42ddd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4cf7ed-cd38-4a46-af05-d2eb5cc41bfe}" ma:internalName="TaxCatchAll" ma:showField="CatchAllData" ma:web="eb2e98dd-0294-400e-bb9e-3de9b42dd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2e98dd-0294-400e-bb9e-3de9b42dddfd" xsi:nil="true"/>
    <lcf76f155ced4ddcb4097134ff3c332f xmlns="001649b9-f546-4842-abb2-3628feb092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D57790-5BA1-4D28-9274-8469EEFE36B1}"/>
</file>

<file path=customXml/itemProps2.xml><?xml version="1.0" encoding="utf-8"?>
<ds:datastoreItem xmlns:ds="http://schemas.openxmlformats.org/officeDocument/2006/customXml" ds:itemID="{537A71D4-4806-40B2-BD02-80D0911E4F9A}"/>
</file>

<file path=customXml/itemProps3.xml><?xml version="1.0" encoding="utf-8"?>
<ds:datastoreItem xmlns:ds="http://schemas.openxmlformats.org/officeDocument/2006/customXml" ds:itemID="{9987BA58-9DD2-4E8D-8467-1A79B8245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SFA導入前確認シート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矢山 広祐</dc:creator>
  <cp:lastModifiedBy>yayama</cp:lastModifiedBy>
  <cp:lastPrinted>2020-03-26T03:31:15Z</cp:lastPrinted>
  <dcterms:created xsi:type="dcterms:W3CDTF">2020-03-26T04:44:37Z</dcterms:created>
  <dcterms:modified xsi:type="dcterms:W3CDTF">2022-04-05T07:20:06Z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0x010100F1F98A6F5427F94787CB95B872BB25CC</vt:lpwstr>
  </property>
</Properties>
</file>